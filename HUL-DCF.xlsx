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19363CDD-3270-42C9-92D9-96EF6ABD4853}" xr6:coauthVersionLast="47" xr6:coauthVersionMax="47" xr10:uidLastSave="{00000000-0000-0000-0000-000000000000}"/>
  <bookViews>
    <workbookView xWindow="-108" yWindow="-108" windowWidth="23256" windowHeight="12456" activeTab="3" xr2:uid="{212A9E1F-4F5E-470A-B352-49D9FF5C0FE7}"/>
  </bookViews>
  <sheets>
    <sheet name="Cover" sheetId="1" r:id="rId1"/>
    <sheet name="Trading Comparables" sheetId="21" r:id="rId2"/>
    <sheet name="WACC" sheetId="3" r:id="rId3"/>
    <sheet name="DCF" sheetId="8" r:id="rId4"/>
    <sheet name="Profit &amp; Loss" sheetId="23" r:id="rId5"/>
    <sheet name="Quarters" sheetId="24" r:id="rId6"/>
    <sheet name="Balance Sheet" sheetId="25" r:id="rId7"/>
    <sheet name="Cash Flow" sheetId="26" r:id="rId8"/>
    <sheet name="Data Sheet" sheetId="27" r:id="rId9"/>
  </sheets>
  <externalReferences>
    <externalReference r:id="rId10"/>
    <externalReference r:id="rId11"/>
    <externalReference r:id="rId12"/>
  </externalReferences>
  <definedNames>
    <definedName name="_bdm.2ce96c87f19a450da146a0c4aa3f4f37.edm" hidden="1">#REF!</definedName>
    <definedName name="_xlnm.Database">[1]Database!$B$11:$XFD$1048576</definedName>
    <definedName name="dr">[2]DCF!$E$18</definedName>
    <definedName name="tg">[2]DCF!$E$19</definedName>
    <definedName name="tgr">DCF!$E$19</definedName>
    <definedName name="UPDATE">'[3]Data Sheet'!$E$1</definedName>
    <definedName name="wacc">DCF!$E$18</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8" i="8" l="1"/>
  <c r="E18" i="8"/>
  <c r="F41" i="8"/>
  <c r="G41" i="8"/>
  <c r="H41" i="8"/>
  <c r="I41" i="8"/>
  <c r="J41" i="8"/>
  <c r="E41" i="8"/>
  <c r="F38" i="8"/>
  <c r="G38" i="8"/>
  <c r="H38" i="8"/>
  <c r="I38" i="8"/>
  <c r="J38" i="8"/>
  <c r="E38" i="8"/>
  <c r="F35" i="8"/>
  <c r="G35" i="8"/>
  <c r="H35" i="8"/>
  <c r="I35" i="8"/>
  <c r="J35" i="8"/>
  <c r="E35" i="8"/>
  <c r="L31" i="8"/>
  <c r="M31" i="8"/>
  <c r="N31" i="8"/>
  <c r="O31" i="8"/>
  <c r="K31" i="8"/>
  <c r="L28" i="8"/>
  <c r="M28" i="8"/>
  <c r="N28" i="8"/>
  <c r="O28" i="8"/>
  <c r="K28" i="8"/>
  <c r="L25" i="8"/>
  <c r="M25" i="8"/>
  <c r="N25" i="8"/>
  <c r="O25" i="8"/>
  <c r="K25" i="8"/>
  <c r="F29" i="8"/>
  <c r="G29" i="8"/>
  <c r="H29" i="8"/>
  <c r="I29" i="8"/>
  <c r="J29" i="8"/>
  <c r="E29" i="8"/>
  <c r="F28" i="8"/>
  <c r="G28" i="8"/>
  <c r="H28" i="8"/>
  <c r="I28" i="8"/>
  <c r="J28" i="8"/>
  <c r="E28" i="8"/>
  <c r="F31" i="8"/>
  <c r="G31" i="8"/>
  <c r="H31" i="8"/>
  <c r="I31" i="8"/>
  <c r="I32" i="8" s="1"/>
  <c r="J31" i="8"/>
  <c r="J32" i="8" s="1"/>
  <c r="E31" i="8"/>
  <c r="F25" i="8"/>
  <c r="G25" i="8"/>
  <c r="H25" i="8"/>
  <c r="I25" i="8"/>
  <c r="J25" i="8"/>
  <c r="E25" i="8"/>
  <c r="F22" i="8"/>
  <c r="G22" i="8"/>
  <c r="H22" i="8"/>
  <c r="I22" i="8"/>
  <c r="J22" i="8"/>
  <c r="K22" i="8" s="1"/>
  <c r="L22" i="8" s="1"/>
  <c r="M22" i="8" s="1"/>
  <c r="N22" i="8" s="1"/>
  <c r="O22" i="8" s="1"/>
  <c r="E22" i="8"/>
  <c r="B6" i="27"/>
  <c r="E1" i="27"/>
  <c r="K7" i="26"/>
  <c r="J7" i="26"/>
  <c r="I7" i="26"/>
  <c r="H7" i="26"/>
  <c r="G7" i="26"/>
  <c r="F7" i="26"/>
  <c r="E7" i="26"/>
  <c r="D7" i="26"/>
  <c r="C7" i="26"/>
  <c r="B7" i="26"/>
  <c r="K6" i="26"/>
  <c r="J6" i="26"/>
  <c r="I6" i="26"/>
  <c r="H6" i="26"/>
  <c r="G6" i="26"/>
  <c r="F6" i="26"/>
  <c r="E6" i="26"/>
  <c r="D6" i="26"/>
  <c r="C6" i="26"/>
  <c r="B6" i="26"/>
  <c r="K5" i="26"/>
  <c r="J5" i="26"/>
  <c r="I5" i="26"/>
  <c r="H5" i="26"/>
  <c r="G5" i="26"/>
  <c r="F5" i="26"/>
  <c r="E5" i="26"/>
  <c r="D5" i="26"/>
  <c r="C5" i="26"/>
  <c r="B5" i="26"/>
  <c r="K4" i="26"/>
  <c r="J4" i="26"/>
  <c r="I4" i="26"/>
  <c r="H4" i="26"/>
  <c r="G4" i="26"/>
  <c r="F4" i="26"/>
  <c r="E4" i="26"/>
  <c r="D4" i="26"/>
  <c r="C4" i="26"/>
  <c r="B4" i="26"/>
  <c r="K3" i="26"/>
  <c r="J3" i="26"/>
  <c r="I3" i="26"/>
  <c r="H3" i="26"/>
  <c r="G3" i="26"/>
  <c r="F3" i="26"/>
  <c r="E3" i="26"/>
  <c r="D3" i="26"/>
  <c r="C3" i="26"/>
  <c r="B3" i="26"/>
  <c r="E1" i="26"/>
  <c r="A1" i="26"/>
  <c r="K23" i="25"/>
  <c r="J23" i="25"/>
  <c r="I23" i="25"/>
  <c r="H23" i="25"/>
  <c r="G23" i="25"/>
  <c r="F23" i="25"/>
  <c r="E23" i="25"/>
  <c r="D23" i="25"/>
  <c r="C23" i="25"/>
  <c r="B23" i="25"/>
  <c r="K21" i="25"/>
  <c r="J21" i="25"/>
  <c r="I21" i="25"/>
  <c r="H21" i="25"/>
  <c r="G21" i="25"/>
  <c r="F21" i="25"/>
  <c r="E21" i="25"/>
  <c r="D21" i="25"/>
  <c r="C21" i="25"/>
  <c r="B21" i="25"/>
  <c r="K20" i="25"/>
  <c r="J20" i="25"/>
  <c r="I20" i="25"/>
  <c r="H20" i="25"/>
  <c r="G20" i="25"/>
  <c r="F20" i="25"/>
  <c r="E20" i="25"/>
  <c r="D20" i="25"/>
  <c r="C20" i="25"/>
  <c r="B20" i="25"/>
  <c r="K18" i="25"/>
  <c r="J18" i="25"/>
  <c r="I18" i="25"/>
  <c r="H18" i="25"/>
  <c r="G18" i="25"/>
  <c r="F18" i="25"/>
  <c r="E18" i="25"/>
  <c r="D18" i="25"/>
  <c r="C18" i="25"/>
  <c r="B18" i="25"/>
  <c r="K17" i="25"/>
  <c r="J17" i="25"/>
  <c r="I17" i="25"/>
  <c r="H17" i="25"/>
  <c r="G17" i="25"/>
  <c r="F17" i="25"/>
  <c r="E17" i="25"/>
  <c r="D17" i="25"/>
  <c r="C17" i="25"/>
  <c r="B17" i="25"/>
  <c r="K14" i="25"/>
  <c r="J14" i="25"/>
  <c r="I14" i="25"/>
  <c r="H14" i="25"/>
  <c r="G14" i="25"/>
  <c r="F14" i="25"/>
  <c r="E14" i="25"/>
  <c r="D14" i="25"/>
  <c r="C14" i="25"/>
  <c r="B14" i="25"/>
  <c r="K13" i="25"/>
  <c r="J13" i="25"/>
  <c r="J16" i="25" s="1"/>
  <c r="I13" i="25"/>
  <c r="H13" i="25"/>
  <c r="G13" i="25"/>
  <c r="F13" i="25"/>
  <c r="F16" i="25" s="1"/>
  <c r="E13" i="25"/>
  <c r="D13" i="25"/>
  <c r="C13" i="25"/>
  <c r="B13" i="25"/>
  <c r="B16" i="25" s="1"/>
  <c r="K12" i="25"/>
  <c r="J12" i="25"/>
  <c r="I12" i="25"/>
  <c r="H12" i="25"/>
  <c r="G12" i="25"/>
  <c r="F12" i="25"/>
  <c r="E12" i="25"/>
  <c r="D12" i="25"/>
  <c r="C12" i="25"/>
  <c r="B12" i="25"/>
  <c r="K11" i="25"/>
  <c r="J11" i="25"/>
  <c r="I11" i="25"/>
  <c r="H11" i="25"/>
  <c r="G11" i="25"/>
  <c r="F11" i="25"/>
  <c r="E11" i="25"/>
  <c r="D11" i="25"/>
  <c r="C11" i="25"/>
  <c r="B11" i="25"/>
  <c r="K10" i="25"/>
  <c r="J10" i="25"/>
  <c r="I10" i="25"/>
  <c r="H10" i="25"/>
  <c r="G10" i="25"/>
  <c r="F10" i="25"/>
  <c r="E10" i="25"/>
  <c r="D10" i="25"/>
  <c r="C10" i="25"/>
  <c r="B10" i="25"/>
  <c r="K8" i="25"/>
  <c r="J8" i="25"/>
  <c r="I8" i="25"/>
  <c r="H8" i="25"/>
  <c r="G8" i="25"/>
  <c r="F8" i="25"/>
  <c r="E8" i="25"/>
  <c r="D8" i="25"/>
  <c r="C8" i="25"/>
  <c r="B8" i="25"/>
  <c r="K7" i="25"/>
  <c r="J7" i="25"/>
  <c r="I7" i="25"/>
  <c r="H7" i="25"/>
  <c r="H16" i="25" s="1"/>
  <c r="G7" i="25"/>
  <c r="G16" i="25" s="1"/>
  <c r="F7" i="25"/>
  <c r="E7" i="25"/>
  <c r="D7" i="25"/>
  <c r="C7" i="25"/>
  <c r="B7" i="25"/>
  <c r="K6" i="25"/>
  <c r="J6" i="25"/>
  <c r="I6" i="25"/>
  <c r="H6" i="25"/>
  <c r="G6" i="25"/>
  <c r="F6" i="25"/>
  <c r="E6" i="25"/>
  <c r="D6" i="25"/>
  <c r="C6" i="25"/>
  <c r="B6" i="25"/>
  <c r="K5" i="25"/>
  <c r="J5" i="25"/>
  <c r="I5" i="25"/>
  <c r="H5" i="25"/>
  <c r="G5" i="25"/>
  <c r="F5" i="25"/>
  <c r="E5" i="25"/>
  <c r="D5" i="25"/>
  <c r="C5" i="25"/>
  <c r="B5" i="25"/>
  <c r="K4" i="25"/>
  <c r="J4" i="25"/>
  <c r="I4" i="25"/>
  <c r="H4" i="25"/>
  <c r="G4" i="25"/>
  <c r="F4" i="25"/>
  <c r="E4" i="25"/>
  <c r="D4" i="25"/>
  <c r="C4" i="25"/>
  <c r="B4" i="25"/>
  <c r="K3" i="25"/>
  <c r="J3" i="25"/>
  <c r="I3" i="25"/>
  <c r="H3" i="25"/>
  <c r="G3" i="25"/>
  <c r="F3" i="25"/>
  <c r="E3" i="25"/>
  <c r="D3" i="25"/>
  <c r="C3" i="25"/>
  <c r="B3" i="25"/>
  <c r="E1" i="25"/>
  <c r="A1" i="25"/>
  <c r="K12" i="24"/>
  <c r="J12" i="24"/>
  <c r="I12" i="24"/>
  <c r="H12" i="24"/>
  <c r="G12" i="24"/>
  <c r="F12" i="24"/>
  <c r="E12" i="24"/>
  <c r="D12" i="24"/>
  <c r="C12" i="24"/>
  <c r="B12" i="24"/>
  <c r="K11" i="24"/>
  <c r="J11" i="24"/>
  <c r="I11" i="24"/>
  <c r="H11" i="24"/>
  <c r="G11" i="24"/>
  <c r="F11" i="24"/>
  <c r="E11" i="24"/>
  <c r="D11" i="24"/>
  <c r="C11" i="24"/>
  <c r="B11" i="24"/>
  <c r="K10" i="24"/>
  <c r="J10" i="24"/>
  <c r="I10" i="24"/>
  <c r="H10" i="24"/>
  <c r="G10" i="24"/>
  <c r="F10" i="24"/>
  <c r="E10" i="24"/>
  <c r="D10" i="24"/>
  <c r="C10" i="24"/>
  <c r="B10" i="24"/>
  <c r="K9" i="24"/>
  <c r="J9" i="24"/>
  <c r="I9" i="24"/>
  <c r="H9" i="24"/>
  <c r="G9" i="24"/>
  <c r="F9" i="24"/>
  <c r="E9" i="24"/>
  <c r="D9" i="24"/>
  <c r="C9" i="24"/>
  <c r="B9" i="24"/>
  <c r="K8" i="24"/>
  <c r="J8" i="24"/>
  <c r="I8" i="24"/>
  <c r="H8" i="24"/>
  <c r="G8" i="24"/>
  <c r="F8" i="24"/>
  <c r="E8" i="24"/>
  <c r="D8" i="24"/>
  <c r="C8" i="24"/>
  <c r="B8" i="24"/>
  <c r="K7" i="24"/>
  <c r="J7" i="24"/>
  <c r="I7" i="24"/>
  <c r="H7" i="24"/>
  <c r="G7" i="24"/>
  <c r="F7" i="24"/>
  <c r="E7" i="24"/>
  <c r="D7" i="24"/>
  <c r="C7" i="24"/>
  <c r="B7" i="24"/>
  <c r="K6" i="24"/>
  <c r="J6" i="24"/>
  <c r="I6" i="24"/>
  <c r="H6" i="24"/>
  <c r="G6" i="24"/>
  <c r="F6" i="24"/>
  <c r="E6" i="24"/>
  <c r="D6" i="24"/>
  <c r="C6" i="24"/>
  <c r="B6" i="24"/>
  <c r="K5" i="24"/>
  <c r="J5" i="24"/>
  <c r="I5" i="24"/>
  <c r="H5" i="24"/>
  <c r="G5" i="24"/>
  <c r="F5" i="24"/>
  <c r="E5" i="24"/>
  <c r="D5" i="24"/>
  <c r="C5" i="24"/>
  <c r="B5" i="24"/>
  <c r="K4" i="24"/>
  <c r="K14" i="24" s="1"/>
  <c r="J4" i="24"/>
  <c r="I4" i="24"/>
  <c r="H4" i="24"/>
  <c r="H14" i="24" s="1"/>
  <c r="G4" i="24"/>
  <c r="F4" i="24"/>
  <c r="E4" i="24"/>
  <c r="D4" i="24"/>
  <c r="C4" i="24"/>
  <c r="C14" i="24" s="1"/>
  <c r="B4" i="24"/>
  <c r="K3" i="24"/>
  <c r="J3" i="24"/>
  <c r="I3" i="24"/>
  <c r="H3" i="24"/>
  <c r="G3" i="24"/>
  <c r="F3" i="24"/>
  <c r="E3" i="24"/>
  <c r="D3" i="24"/>
  <c r="C3" i="24"/>
  <c r="B3" i="24"/>
  <c r="E1" i="24"/>
  <c r="A1" i="24"/>
  <c r="K18" i="23"/>
  <c r="J18" i="23"/>
  <c r="I18" i="23"/>
  <c r="H18" i="23"/>
  <c r="G18" i="23"/>
  <c r="F18" i="23"/>
  <c r="E18" i="23"/>
  <c r="D18" i="23"/>
  <c r="C18" i="23"/>
  <c r="B18" i="23"/>
  <c r="L15" i="23"/>
  <c r="K15" i="23"/>
  <c r="J15" i="23"/>
  <c r="I15" i="23"/>
  <c r="H15" i="23"/>
  <c r="G15" i="23"/>
  <c r="F15" i="23"/>
  <c r="E15" i="23"/>
  <c r="D15" i="23"/>
  <c r="C15" i="23"/>
  <c r="B15" i="23"/>
  <c r="N13" i="23"/>
  <c r="M13" i="23"/>
  <c r="L13" i="23"/>
  <c r="L14" i="23" s="1"/>
  <c r="L25" i="23" s="1"/>
  <c r="L12" i="23"/>
  <c r="K12" i="23"/>
  <c r="K13" i="23" s="1"/>
  <c r="K14" i="23" s="1"/>
  <c r="J12" i="23"/>
  <c r="J13" i="23" s="1"/>
  <c r="I12" i="23"/>
  <c r="I13" i="23" s="1"/>
  <c r="H12" i="23"/>
  <c r="H13" i="23" s="1"/>
  <c r="G12" i="23"/>
  <c r="G13" i="23" s="1"/>
  <c r="G14" i="23" s="1"/>
  <c r="F12" i="23"/>
  <c r="F13" i="23" s="1"/>
  <c r="E12" i="23"/>
  <c r="E13" i="23" s="1"/>
  <c r="D12" i="23"/>
  <c r="D13" i="23" s="1"/>
  <c r="C12" i="23"/>
  <c r="C13" i="23" s="1"/>
  <c r="C14" i="23" s="1"/>
  <c r="B12" i="23"/>
  <c r="B13" i="23" s="1"/>
  <c r="N11" i="23"/>
  <c r="L11" i="23"/>
  <c r="K11" i="23"/>
  <c r="J11" i="23"/>
  <c r="I11" i="23"/>
  <c r="H11" i="23"/>
  <c r="G11" i="23"/>
  <c r="F11" i="23"/>
  <c r="E11" i="23"/>
  <c r="D11" i="23"/>
  <c r="C11" i="23"/>
  <c r="B11" i="23"/>
  <c r="L10" i="23"/>
  <c r="K10" i="23"/>
  <c r="J10" i="23"/>
  <c r="I10" i="23"/>
  <c r="H10" i="23"/>
  <c r="G10" i="23"/>
  <c r="F10" i="23"/>
  <c r="E10" i="23"/>
  <c r="D10" i="23"/>
  <c r="C10" i="23"/>
  <c r="B10" i="23"/>
  <c r="L9" i="23"/>
  <c r="N9" i="23" s="1"/>
  <c r="K9" i="23"/>
  <c r="J9" i="23"/>
  <c r="I9" i="23"/>
  <c r="H9" i="23"/>
  <c r="G9" i="23"/>
  <c r="F9" i="23"/>
  <c r="E9" i="23"/>
  <c r="D9" i="23"/>
  <c r="C9" i="23"/>
  <c r="B9" i="23"/>
  <c r="L8" i="23"/>
  <c r="M8" i="23" s="1"/>
  <c r="K8" i="23"/>
  <c r="J8" i="23"/>
  <c r="I8" i="23"/>
  <c r="H8" i="23"/>
  <c r="G8" i="23"/>
  <c r="F8" i="23"/>
  <c r="E8" i="23"/>
  <c r="D8" i="23"/>
  <c r="C8" i="23"/>
  <c r="B8" i="23"/>
  <c r="L7" i="23"/>
  <c r="K7" i="23"/>
  <c r="J7" i="23"/>
  <c r="I7" i="23"/>
  <c r="H7" i="23"/>
  <c r="G7" i="23"/>
  <c r="F7" i="23"/>
  <c r="E7" i="23"/>
  <c r="D7" i="23"/>
  <c r="C7" i="23"/>
  <c r="B7" i="23"/>
  <c r="L6" i="23"/>
  <c r="L5" i="23"/>
  <c r="K5" i="23"/>
  <c r="J5" i="23"/>
  <c r="I5" i="23"/>
  <c r="H5" i="23"/>
  <c r="G5" i="23"/>
  <c r="F5" i="23"/>
  <c r="E5" i="23"/>
  <c r="D5" i="23"/>
  <c r="D6" i="23" s="1"/>
  <c r="D19" i="23" s="1"/>
  <c r="C5" i="23"/>
  <c r="B5" i="23"/>
  <c r="L4" i="23"/>
  <c r="K4" i="23"/>
  <c r="J4" i="23"/>
  <c r="I4" i="23"/>
  <c r="H4" i="23"/>
  <c r="G4" i="23"/>
  <c r="F4" i="23"/>
  <c r="J23" i="23" s="1"/>
  <c r="E4" i="23"/>
  <c r="D4" i="23"/>
  <c r="C4" i="23"/>
  <c r="B4" i="23"/>
  <c r="K3" i="23"/>
  <c r="J3" i="23"/>
  <c r="I3" i="23"/>
  <c r="H3" i="23"/>
  <c r="G3" i="23"/>
  <c r="F3" i="23"/>
  <c r="E3" i="23"/>
  <c r="D3" i="23"/>
  <c r="C3" i="23"/>
  <c r="B3" i="23"/>
  <c r="H1" i="23"/>
  <c r="A1" i="23"/>
  <c r="N13" i="3"/>
  <c r="N14" i="3"/>
  <c r="N15" i="3"/>
  <c r="N16" i="3"/>
  <c r="N12" i="3"/>
  <c r="N10" i="3"/>
  <c r="E18" i="3"/>
  <c r="E19" i="3"/>
  <c r="G13" i="3" a="1"/>
  <c r="G13" i="3" s="1"/>
  <c r="I13" i="3" s="1"/>
  <c r="G14" i="3" a="1"/>
  <c r="G14" i="3" s="1"/>
  <c r="I14" i="3" s="1"/>
  <c r="G15" i="3" a="1"/>
  <c r="G15" i="3" s="1"/>
  <c r="I15" i="3" s="1"/>
  <c r="G16" i="3" a="1"/>
  <c r="G16" i="3" s="1"/>
  <c r="I16" i="3" s="1"/>
  <c r="G12" i="3" a="1"/>
  <c r="G12" i="3" s="1"/>
  <c r="I12" i="3" s="1"/>
  <c r="G10" i="3" a="1"/>
  <c r="G10" i="3" s="1"/>
  <c r="I10" i="3" s="1"/>
  <c r="G32" i="8" l="1"/>
  <c r="F32" i="8"/>
  <c r="H32" i="8"/>
  <c r="E32" i="8"/>
  <c r="D14" i="24"/>
  <c r="M11" i="23"/>
  <c r="E14" i="24"/>
  <c r="I14" i="24"/>
  <c r="K23" i="23"/>
  <c r="M23" i="23" s="1"/>
  <c r="M4" i="23" s="1"/>
  <c r="E6" i="23"/>
  <c r="E19" i="23" s="1"/>
  <c r="C24" i="25"/>
  <c r="K24" i="25"/>
  <c r="B6" i="23"/>
  <c r="B19" i="23" s="1"/>
  <c r="L23" i="23"/>
  <c r="E16" i="25"/>
  <c r="F14" i="23"/>
  <c r="I14" i="23"/>
  <c r="I24" i="25"/>
  <c r="J24" i="25"/>
  <c r="I16" i="25"/>
  <c r="D14" i="23"/>
  <c r="D24" i="25"/>
  <c r="C16" i="25"/>
  <c r="K16" i="25"/>
  <c r="L19" i="23"/>
  <c r="L24" i="23" s="1"/>
  <c r="H14" i="23"/>
  <c r="E24" i="25"/>
  <c r="D16" i="25"/>
  <c r="C6" i="23"/>
  <c r="C19" i="23" s="1"/>
  <c r="K6" i="23"/>
  <c r="K19" i="23" s="1"/>
  <c r="F24" i="25"/>
  <c r="I23" i="23"/>
  <c r="I6" i="23"/>
  <c r="I19" i="23" s="1"/>
  <c r="F14" i="24"/>
  <c r="B14" i="24"/>
  <c r="J14" i="24"/>
  <c r="G24" i="25"/>
  <c r="G14" i="24"/>
  <c r="H24" i="25"/>
  <c r="K25" i="23"/>
  <c r="M25" i="23" s="1"/>
  <c r="M14" i="23" s="1"/>
  <c r="M15" i="23" s="1"/>
  <c r="B14" i="23"/>
  <c r="J14" i="23"/>
  <c r="J25" i="23"/>
  <c r="E14" i="23"/>
  <c r="I25" i="23" s="1"/>
  <c r="F6" i="23"/>
  <c r="F19" i="23" s="1"/>
  <c r="N8" i="23"/>
  <c r="G6" i="23"/>
  <c r="G19" i="23" s="1"/>
  <c r="H23" i="23"/>
  <c r="N23" i="23" s="1"/>
  <c r="N4" i="23" s="1"/>
  <c r="H6" i="23"/>
  <c r="H19" i="23" s="1"/>
  <c r="J6" i="23"/>
  <c r="J19" i="23" s="1"/>
  <c r="M9" i="23"/>
  <c r="I19" i="3"/>
  <c r="I18" i="3"/>
  <c r="K24" i="23" l="1"/>
  <c r="M24" i="23" s="1"/>
  <c r="J24" i="23"/>
  <c r="H24" i="23"/>
  <c r="M6" i="23"/>
  <c r="M10" i="23" s="1"/>
  <c r="M12" i="23" s="1"/>
  <c r="I24" i="23"/>
  <c r="N24" i="23" s="1"/>
  <c r="N6" i="23" s="1"/>
  <c r="H25" i="23"/>
  <c r="N25" i="23" s="1"/>
  <c r="N14" i="23" s="1"/>
  <c r="N15" i="23" s="1"/>
  <c r="N10" i="23" l="1"/>
  <c r="N12" i="23" s="1"/>
  <c r="N5" i="23"/>
  <c r="M5" i="23"/>
  <c r="H4" i="8" a="1"/>
  <c r="H4" i="8" s="1"/>
  <c r="C5" i="8"/>
  <c r="G19" i="3"/>
  <c r="H19" i="3"/>
  <c r="J19" i="3"/>
  <c r="K19" i="3"/>
  <c r="L19" i="3"/>
  <c r="M19" i="3"/>
  <c r="N19" i="3"/>
  <c r="O19" i="3"/>
  <c r="F19" i="3"/>
  <c r="G18" i="3"/>
  <c r="H18" i="3"/>
  <c r="J18" i="3"/>
  <c r="K18" i="3"/>
  <c r="L18" i="3"/>
  <c r="M18" i="3"/>
  <c r="N18" i="3"/>
  <c r="O18" i="3"/>
  <c r="F18" i="3"/>
  <c r="D13" i="3" a="1"/>
  <c r="D13" i="3" s="1"/>
  <c r="D14" i="3" a="1"/>
  <c r="D14" i="3" s="1"/>
  <c r="D15" i="3" a="1"/>
  <c r="D15" i="3" s="1"/>
  <c r="D16" i="3" a="1"/>
  <c r="D16" i="3" s="1"/>
  <c r="D12" i="3" a="1"/>
  <c r="D12" i="3" s="1"/>
  <c r="D10" i="3" a="1"/>
  <c r="D10" i="3" s="1"/>
  <c r="D9" i="21" a="1"/>
  <c r="D9" i="21" s="1"/>
  <c r="D11" i="21" a="1"/>
  <c r="D11" i="21" s="1"/>
  <c r="D12" i="21" a="1"/>
  <c r="D12" i="21" s="1"/>
  <c r="D13" i="21" a="1"/>
  <c r="D13" i="21" s="1"/>
  <c r="D14" i="21" a="1"/>
  <c r="D14" i="21" s="1"/>
  <c r="D15" i="21" a="1"/>
  <c r="D15" i="21" s="1"/>
  <c r="D16" i="1"/>
  <c r="D9" i="1"/>
  <c r="J9" i="3"/>
  <c r="H9" i="3"/>
  <c r="F9" i="3"/>
  <c r="C16" i="3" a="1"/>
  <c r="C16" i="3" s="1"/>
  <c r="C15" i="3" a="1"/>
  <c r="C15" i="3" s="1"/>
  <c r="C14" i="3" a="1"/>
  <c r="C14" i="3" s="1"/>
  <c r="C13" i="3" a="1"/>
  <c r="C13" i="3" s="1"/>
  <c r="C12" i="3" a="1"/>
  <c r="C12" i="3" s="1"/>
  <c r="C10" i="3" a="1"/>
  <c r="C10" i="3" s="1"/>
  <c r="X13" i="21"/>
  <c r="Y13" i="21"/>
  <c r="Z13" i="21"/>
  <c r="AA13" i="21"/>
  <c r="X14" i="21"/>
  <c r="Y14" i="21"/>
  <c r="Z14" i="21"/>
  <c r="AA14" i="21"/>
  <c r="X15" i="21"/>
  <c r="Y15" i="21"/>
  <c r="Z15" i="21"/>
  <c r="AA15" i="21"/>
  <c r="V15" i="21"/>
  <c r="U15" i="21"/>
  <c r="T15" i="21"/>
  <c r="S15" i="21"/>
  <c r="R15" i="21"/>
  <c r="Q15" i="21"/>
  <c r="G15" i="21" a="1"/>
  <c r="G15" i="21" s="1"/>
  <c r="AB15" i="21" s="1"/>
  <c r="E15" i="21" a="1"/>
  <c r="E15" i="21" s="1"/>
  <c r="C15" i="21" a="1"/>
  <c r="C15" i="21" s="1"/>
  <c r="H15" i="21" s="1"/>
  <c r="V14" i="21"/>
  <c r="U14" i="21"/>
  <c r="T14" i="21"/>
  <c r="S14" i="21"/>
  <c r="R14" i="21"/>
  <c r="Q14" i="21"/>
  <c r="G14" i="21" a="1"/>
  <c r="G14" i="21" s="1"/>
  <c r="AB14" i="21" s="1"/>
  <c r="E14" i="21" a="1"/>
  <c r="E14" i="21" s="1"/>
  <c r="C14" i="21" a="1"/>
  <c r="C14" i="21" s="1"/>
  <c r="H14" i="21" s="1"/>
  <c r="V13" i="21"/>
  <c r="U13" i="21"/>
  <c r="T13" i="21"/>
  <c r="S13" i="21"/>
  <c r="R13" i="21"/>
  <c r="Q13" i="21"/>
  <c r="G13" i="21" a="1"/>
  <c r="G13" i="21" s="1"/>
  <c r="AB13" i="21" s="1"/>
  <c r="E13" i="21" a="1"/>
  <c r="E13" i="21" s="1"/>
  <c r="C13" i="21" a="1"/>
  <c r="C13" i="21" s="1"/>
  <c r="H13" i="21" s="1"/>
  <c r="AA12" i="21"/>
  <c r="Z12" i="21"/>
  <c r="Y12" i="21"/>
  <c r="X12" i="21"/>
  <c r="V12" i="21"/>
  <c r="U12" i="21"/>
  <c r="T12" i="21"/>
  <c r="S12" i="21"/>
  <c r="R12" i="21"/>
  <c r="Q12" i="21"/>
  <c r="G12" i="21" a="1"/>
  <c r="G12" i="21" s="1"/>
  <c r="E12" i="21" a="1"/>
  <c r="E12" i="21" s="1"/>
  <c r="C12" i="21" a="1"/>
  <c r="C12" i="21" s="1"/>
  <c r="H12" i="21" s="1"/>
  <c r="AA11" i="21"/>
  <c r="Z11" i="21"/>
  <c r="Y11" i="21"/>
  <c r="X11" i="21"/>
  <c r="V11" i="21"/>
  <c r="U11" i="21"/>
  <c r="T11" i="21"/>
  <c r="S11" i="21"/>
  <c r="R11" i="21"/>
  <c r="Q11" i="21"/>
  <c r="G11" i="21" a="1"/>
  <c r="G11" i="21" s="1"/>
  <c r="E11" i="21" a="1"/>
  <c r="E11" i="21" s="1"/>
  <c r="C11" i="21" a="1"/>
  <c r="C11" i="21" s="1"/>
  <c r="H11" i="21" s="1"/>
  <c r="AA9" i="21"/>
  <c r="Z9" i="21"/>
  <c r="Y9" i="21"/>
  <c r="X9" i="21"/>
  <c r="V9" i="21"/>
  <c r="U9" i="21"/>
  <c r="T9" i="21"/>
  <c r="S9" i="21"/>
  <c r="R9" i="21"/>
  <c r="Q9" i="21"/>
  <c r="G9" i="21" a="1"/>
  <c r="G9" i="21" s="1"/>
  <c r="E9" i="21" a="1"/>
  <c r="E9" i="21" s="1"/>
  <c r="P86" i="8" s="1"/>
  <c r="C9" i="21" a="1"/>
  <c r="C9" i="21" s="1"/>
  <c r="H9" i="21" s="1"/>
  <c r="Q7" i="21"/>
  <c r="J7" i="21"/>
  <c r="AB7" i="21" s="1"/>
  <c r="E2" i="21"/>
  <c r="Y17" i="21" l="1"/>
  <c r="X18" i="21"/>
  <c r="Q18" i="21"/>
  <c r="Z17" i="21"/>
  <c r="R17" i="21"/>
  <c r="AA17" i="21"/>
  <c r="V17" i="21"/>
  <c r="S17" i="21"/>
  <c r="T17" i="21"/>
  <c r="U17" i="21"/>
  <c r="V18" i="21"/>
  <c r="X17" i="21"/>
  <c r="U18" i="21"/>
  <c r="Q17" i="21"/>
  <c r="T18" i="21"/>
  <c r="L7" i="21"/>
  <c r="N7" i="21" s="1"/>
  <c r="S18" i="21"/>
  <c r="AA18" i="21"/>
  <c r="R18" i="21"/>
  <c r="Z18" i="21"/>
  <c r="Y18" i="21"/>
  <c r="X7" i="21"/>
  <c r="AC13" i="21"/>
  <c r="AC14" i="21"/>
  <c r="AC15" i="21"/>
  <c r="AC9" i="21"/>
  <c r="AB9" i="21"/>
  <c r="Z7" i="21"/>
  <c r="K7" i="21"/>
  <c r="T7" i="21" s="1"/>
  <c r="V7" i="21" s="1"/>
  <c r="AC12" i="21"/>
  <c r="AB12" i="21"/>
  <c r="AC11" i="21"/>
  <c r="AB11" i="21"/>
  <c r="S7" i="21"/>
  <c r="U7" i="21" s="1"/>
  <c r="AC7" i="21" l="1"/>
  <c r="AB18" i="21"/>
  <c r="AB17" i="21"/>
  <c r="AC17" i="21"/>
  <c r="AC18" i="21"/>
  <c r="AA7" i="21"/>
  <c r="R7" i="21"/>
  <c r="Y7" i="21"/>
  <c r="M7" i="21"/>
  <c r="O7" i="21" s="1"/>
  <c r="P82" i="8" l="1"/>
  <c r="K75" i="8"/>
  <c r="L76" i="8" s="1"/>
  <c r="M76" i="8" s="1"/>
  <c r="N76" i="8" s="1"/>
  <c r="O76" i="8" s="1"/>
  <c r="P76" i="8" s="1"/>
  <c r="E19" i="8"/>
  <c r="I69" i="8"/>
  <c r="H69" i="8"/>
  <c r="G69" i="8"/>
  <c r="F69" i="8"/>
  <c r="J66" i="8"/>
  <c r="H66" i="8"/>
  <c r="G66" i="8"/>
  <c r="F66" i="8"/>
  <c r="E66" i="8"/>
  <c r="J63" i="8"/>
  <c r="I63" i="8"/>
  <c r="H63" i="8"/>
  <c r="F63" i="8"/>
  <c r="E63" i="8"/>
  <c r="J58" i="8"/>
  <c r="I58" i="8"/>
  <c r="H58" i="8"/>
  <c r="G58" i="8"/>
  <c r="F58" i="8"/>
  <c r="E58" i="8"/>
  <c r="J52" i="8"/>
  <c r="I52" i="8"/>
  <c r="H52" i="8"/>
  <c r="G52" i="8"/>
  <c r="E46" i="8"/>
  <c r="F34" i="8"/>
  <c r="G34" i="8" s="1"/>
  <c r="H34" i="8" s="1"/>
  <c r="I34" i="8" s="1"/>
  <c r="J34" i="8" s="1"/>
  <c r="F21" i="8"/>
  <c r="G21" i="8" s="1"/>
  <c r="H21" i="8" s="1"/>
  <c r="I21" i="8" s="1"/>
  <c r="J21" i="8" s="1"/>
  <c r="K21" i="8" s="1"/>
  <c r="L21" i="8" s="1"/>
  <c r="M21" i="8" s="1"/>
  <c r="N21" i="8" s="1"/>
  <c r="O21" i="8" s="1"/>
  <c r="L49" i="8" l="1"/>
  <c r="L48" i="8" s="1"/>
  <c r="L47" i="8" s="1"/>
  <c r="L55" i="8"/>
  <c r="L54" i="8" s="1"/>
  <c r="L53" i="8" s="1"/>
  <c r="M49" i="8"/>
  <c r="M50" i="8" s="1"/>
  <c r="N50" i="8" s="1"/>
  <c r="O50" i="8" s="1"/>
  <c r="P50" i="8" s="1"/>
  <c r="M55" i="8"/>
  <c r="M54" i="8" s="1"/>
  <c r="N54" i="8" s="1"/>
  <c r="O54" i="8" s="1"/>
  <c r="P54" i="8" s="1"/>
  <c r="E26" i="8"/>
  <c r="J59" i="8"/>
  <c r="G36" i="8"/>
  <c r="F23" i="8"/>
  <c r="E42" i="8"/>
  <c r="J36" i="8"/>
  <c r="K54" i="8"/>
  <c r="E39" i="8"/>
  <c r="F39" i="8"/>
  <c r="F26" i="8"/>
  <c r="H39" i="8"/>
  <c r="E36" i="8"/>
  <c r="I39" i="8"/>
  <c r="F43" i="8"/>
  <c r="I23" i="8"/>
  <c r="J23" i="8"/>
  <c r="E64" i="8"/>
  <c r="I46" i="8"/>
  <c r="E67" i="8"/>
  <c r="G59" i="8"/>
  <c r="H59" i="8"/>
  <c r="H46" i="8"/>
  <c r="H67" i="8" s="1"/>
  <c r="J46" i="8"/>
  <c r="J67" i="8" s="1"/>
  <c r="E52" i="8"/>
  <c r="E53" i="8" s="1"/>
  <c r="F36" i="8"/>
  <c r="F52" i="8"/>
  <c r="F59" i="8" s="1"/>
  <c r="G23" i="8"/>
  <c r="J43" i="8"/>
  <c r="L50" i="8"/>
  <c r="M56" i="8"/>
  <c r="N56" i="8" s="1"/>
  <c r="O56" i="8" s="1"/>
  <c r="P56" i="8" s="1"/>
  <c r="I59" i="8"/>
  <c r="H36" i="8"/>
  <c r="J39" i="8"/>
  <c r="F46" i="8"/>
  <c r="F47" i="8" s="1"/>
  <c r="G42" i="8"/>
  <c r="H42" i="8"/>
  <c r="J26" i="8"/>
  <c r="G39" i="8"/>
  <c r="I36" i="8"/>
  <c r="F42" i="8"/>
  <c r="G46" i="8"/>
  <c r="G70" i="8" s="1"/>
  <c r="J69" i="8"/>
  <c r="G63" i="8"/>
  <c r="I66" i="8"/>
  <c r="G43" i="8"/>
  <c r="K76" i="8"/>
  <c r="G26" i="8"/>
  <c r="H26" i="8"/>
  <c r="I26" i="8"/>
  <c r="I42" i="8"/>
  <c r="H43" i="8"/>
  <c r="E69" i="8"/>
  <c r="E70" i="8" s="1"/>
  <c r="H23" i="8"/>
  <c r="J42" i="8"/>
  <c r="I43" i="8"/>
  <c r="N55" i="8" l="1"/>
  <c r="K59" i="8"/>
  <c r="L59" i="8" s="1"/>
  <c r="M59" i="8" s="1"/>
  <c r="N59" i="8" s="1"/>
  <c r="O59" i="8" s="1"/>
  <c r="P59" i="8" s="1"/>
  <c r="N49" i="8"/>
  <c r="O49" i="8" s="1"/>
  <c r="M48" i="8"/>
  <c r="N48" i="8" s="1"/>
  <c r="O48" i="8" s="1"/>
  <c r="P48" i="8" s="1"/>
  <c r="L56" i="8"/>
  <c r="I67" i="8"/>
  <c r="H64" i="8"/>
  <c r="J64" i="8"/>
  <c r="K56" i="8"/>
  <c r="I47" i="8"/>
  <c r="K55" i="8"/>
  <c r="H70" i="8"/>
  <c r="K53" i="8"/>
  <c r="G64" i="8"/>
  <c r="J47" i="8"/>
  <c r="M53" i="8"/>
  <c r="I53" i="8"/>
  <c r="I70" i="8"/>
  <c r="I64" i="8"/>
  <c r="J70" i="8"/>
  <c r="H53" i="8"/>
  <c r="E59" i="8"/>
  <c r="J53" i="8"/>
  <c r="N53" i="8"/>
  <c r="O55" i="8"/>
  <c r="F67" i="8"/>
  <c r="F64" i="8"/>
  <c r="K64" i="8" s="1"/>
  <c r="L64" i="8" s="1"/>
  <c r="M64" i="8" s="1"/>
  <c r="N64" i="8" s="1"/>
  <c r="O64" i="8" s="1"/>
  <c r="P64" i="8" s="1"/>
  <c r="F53" i="8"/>
  <c r="G53" i="8"/>
  <c r="G47" i="8"/>
  <c r="K50" i="8"/>
  <c r="K49" i="8"/>
  <c r="K48" i="8"/>
  <c r="H47" i="8"/>
  <c r="G67" i="8"/>
  <c r="F70" i="8"/>
  <c r="K70" i="8" l="1"/>
  <c r="K67" i="8"/>
  <c r="L67" i="8" s="1"/>
  <c r="N47" i="8"/>
  <c r="M47" i="8"/>
  <c r="K47" i="8"/>
  <c r="K46" i="8" s="1"/>
  <c r="L46" i="8" s="1"/>
  <c r="P55" i="8"/>
  <c r="P53" i="8" s="1"/>
  <c r="O53" i="8"/>
  <c r="L70" i="8"/>
  <c r="P49" i="8"/>
  <c r="P47" i="8" s="1"/>
  <c r="O47" i="8"/>
  <c r="K69" i="8" l="1"/>
  <c r="K52" i="8"/>
  <c r="K58" i="8" s="1"/>
  <c r="K61" i="8" s="1"/>
  <c r="K63" i="8"/>
  <c r="K66" i="8"/>
  <c r="M70" i="8"/>
  <c r="L69" i="8"/>
  <c r="L63" i="8"/>
  <c r="M46" i="8"/>
  <c r="L52" i="8"/>
  <c r="L58" i="8" s="1"/>
  <c r="L61" i="8" s="1"/>
  <c r="M67" i="8"/>
  <c r="L66" i="8"/>
  <c r="K72" i="8" l="1"/>
  <c r="K73" i="8" s="1"/>
  <c r="L72" i="8"/>
  <c r="L73" i="8" s="1"/>
  <c r="M63" i="8"/>
  <c r="M52" i="8"/>
  <c r="M58" i="8" s="1"/>
  <c r="M61" i="8" s="1"/>
  <c r="N46" i="8"/>
  <c r="N67" i="8"/>
  <c r="M66" i="8"/>
  <c r="N70" i="8"/>
  <c r="M69" i="8"/>
  <c r="O70" i="8" l="1"/>
  <c r="N69" i="8"/>
  <c r="O67" i="8"/>
  <c r="N66" i="8"/>
  <c r="N52" i="8"/>
  <c r="N58" i="8" s="1"/>
  <c r="N61" i="8" s="1"/>
  <c r="O46" i="8"/>
  <c r="N63" i="8"/>
  <c r="M72" i="8"/>
  <c r="M73" i="8" s="1"/>
  <c r="N72" i="8" l="1"/>
  <c r="N73" i="8" s="1"/>
  <c r="O52" i="8"/>
  <c r="O58" i="8" s="1"/>
  <c r="O61" i="8" s="1"/>
  <c r="P46" i="8"/>
  <c r="O63" i="8"/>
  <c r="P67" i="8"/>
  <c r="O66" i="8"/>
  <c r="P70" i="8"/>
  <c r="O69" i="8"/>
  <c r="P69" i="8" l="1"/>
  <c r="P66" i="8"/>
  <c r="O72" i="8"/>
  <c r="O73" i="8" s="1"/>
  <c r="P52" i="8"/>
  <c r="P58" i="8" s="1"/>
  <c r="P61" i="8" s="1"/>
  <c r="P63" i="8"/>
  <c r="P72" i="8" l="1"/>
  <c r="P73" i="8" s="1"/>
  <c r="F45" i="8" l="1"/>
  <c r="G45" i="8" s="1"/>
  <c r="H45" i="8" s="1"/>
  <c r="I45" i="8" s="1"/>
  <c r="J45" i="8" s="1"/>
  <c r="K45" i="8" s="1"/>
  <c r="L45" i="8" s="1"/>
  <c r="M45" i="8" s="1"/>
  <c r="N45" i="8" s="1"/>
  <c r="O45" i="8" s="1"/>
  <c r="P45" i="8" s="1"/>
  <c r="L44" i="8"/>
  <c r="M44" i="8" s="1"/>
  <c r="N44" i="8" s="1"/>
  <c r="O44" i="8" s="1"/>
  <c r="P44" i="8" s="1"/>
  <c r="O18" i="8" l="1"/>
  <c r="J18" i="8" s="1"/>
  <c r="P78" i="8" l="1"/>
  <c r="P79" i="8" s="1"/>
  <c r="P81" i="8" l="1"/>
  <c r="P84" i="8" s="1"/>
  <c r="P87" i="8" s="1"/>
  <c r="H5" i="8" s="1"/>
  <c r="H6"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21"/>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<sst xmlns="http://schemas.openxmlformats.org/spreadsheetml/2006/main" count="356" uniqueCount="217">
  <si>
    <t>WACC</t>
  </si>
  <si>
    <t>x</t>
  </si>
  <si>
    <t>Total</t>
  </si>
  <si>
    <t>Tax Rate</t>
  </si>
  <si>
    <t>Debt</t>
  </si>
  <si>
    <t>Beta</t>
  </si>
  <si>
    <t>Cost of equity = Risk free rate + Beta x Market Risk Premium</t>
  </si>
  <si>
    <t>WACC = % of equity x cost of equity + % of debt x cost of debt x (1 - Tax Rate)</t>
  </si>
  <si>
    <t>The Bull Case</t>
  </si>
  <si>
    <t>The Bear Case</t>
  </si>
  <si>
    <t>Cover</t>
  </si>
  <si>
    <t>Situation Overview</t>
  </si>
  <si>
    <t>Net Income</t>
  </si>
  <si>
    <t>EBITDA</t>
  </si>
  <si>
    <t>Sales</t>
  </si>
  <si>
    <t>Date</t>
  </si>
  <si>
    <t>Trading Multiples</t>
  </si>
  <si>
    <t>Market</t>
  </si>
  <si>
    <t>Enterprise</t>
  </si>
  <si>
    <t>Current</t>
  </si>
  <si>
    <t>Price</t>
  </si>
  <si>
    <t>Revenue Growth</t>
  </si>
  <si>
    <t>EBITDA Margin</t>
  </si>
  <si>
    <t>Profit Margin</t>
  </si>
  <si>
    <t>EV / Revenue</t>
  </si>
  <si>
    <t>EV / EBITDA</t>
  </si>
  <si>
    <t>P / E</t>
  </si>
  <si>
    <t>Ticker</t>
  </si>
  <si>
    <t>Company Name</t>
  </si>
  <si>
    <t>Cap</t>
  </si>
  <si>
    <t>Value</t>
  </si>
  <si>
    <t>Mean</t>
  </si>
  <si>
    <t>Median</t>
  </si>
  <si>
    <t>Current Stock Price</t>
  </si>
  <si>
    <t>Implied Share Price</t>
  </si>
  <si>
    <t>Year End</t>
  </si>
  <si>
    <t>Upside / (Downside)</t>
  </si>
  <si>
    <t>Assumptions</t>
  </si>
  <si>
    <t>Switches</t>
  </si>
  <si>
    <t>Conservative</t>
  </si>
  <si>
    <t>Base</t>
  </si>
  <si>
    <t>Optimistic</t>
  </si>
  <si>
    <t>Year</t>
  </si>
  <si>
    <t>Metric</t>
  </si>
  <si>
    <t>Revenue</t>
  </si>
  <si>
    <t>EBIT</t>
  </si>
  <si>
    <t>TGR</t>
  </si>
  <si>
    <t>Valuation</t>
  </si>
  <si>
    <t>% growth</t>
  </si>
  <si>
    <t>% of sales</t>
  </si>
  <si>
    <t>Taxes</t>
  </si>
  <si>
    <t>Tax rate</t>
  </si>
  <si>
    <t>D&amp;A</t>
  </si>
  <si>
    <t>CapEx</t>
  </si>
  <si>
    <t>Change in NWC</t>
  </si>
  <si>
    <t>% of change in sales</t>
  </si>
  <si>
    <t>DCF (12/31, USD M)</t>
  </si>
  <si>
    <t>Base (Street)</t>
  </si>
  <si>
    <t>EBIAT</t>
  </si>
  <si>
    <t>UFCF</t>
  </si>
  <si>
    <t>PV of UFCF</t>
  </si>
  <si>
    <t>Period</t>
  </si>
  <si>
    <t>Discount Period</t>
  </si>
  <si>
    <t>TV</t>
  </si>
  <si>
    <t>PV of TV</t>
  </si>
  <si>
    <t>Enterprise Value</t>
  </si>
  <si>
    <t>(+) Cash</t>
  </si>
  <si>
    <t>(-) Debt</t>
  </si>
  <si>
    <t>Equity Value</t>
  </si>
  <si>
    <t>Share count</t>
  </si>
  <si>
    <t>Implied price per share</t>
  </si>
  <si>
    <t>DCF</t>
  </si>
  <si>
    <t>Income Statement (12/31)</t>
  </si>
  <si>
    <t>Cash Flow Items (12/31)</t>
  </si>
  <si>
    <t>'26-'27</t>
  </si>
  <si>
    <t>Revenue (% of base)</t>
  </si>
  <si>
    <t>Revenue (decel.)</t>
  </si>
  <si>
    <t>EBIT (% of base)</t>
  </si>
  <si>
    <t>EBIT (growth)</t>
  </si>
  <si>
    <t>'28-'30</t>
  </si>
  <si>
    <t>https://www.nseindia.com/static/market-data/securities-available-for-trading</t>
  </si>
  <si>
    <t>Trading Comparables</t>
  </si>
  <si>
    <t>WEBSITE</t>
  </si>
  <si>
    <t>TICKER</t>
  </si>
  <si>
    <t>Cr.</t>
  </si>
  <si>
    <t>Share</t>
  </si>
  <si>
    <t>Count</t>
  </si>
  <si>
    <t>Equity</t>
  </si>
  <si>
    <t>Cost of</t>
  </si>
  <si>
    <t xml:space="preserve">Market Risk </t>
  </si>
  <si>
    <t>Premium</t>
  </si>
  <si>
    <t>Risk Free</t>
  </si>
  <si>
    <t>Rate</t>
  </si>
  <si>
    <t>Hindustan Unilever Limited</t>
  </si>
  <si>
    <r>
      <t>Ticker:</t>
    </r>
    <r>
      <rPr>
        <sz val="11"/>
        <color theme="1"/>
        <rFont val="Calibri"/>
        <family val="2"/>
        <scheme val="minor"/>
      </rPr>
      <t xml:space="preserve"> HINDUNILVR.NS</t>
    </r>
  </si>
  <si>
    <r>
      <t>Sector:</t>
    </r>
    <r>
      <rPr>
        <sz val="11"/>
        <color theme="1"/>
        <rFont val="Calibri"/>
        <family val="2"/>
        <scheme val="minor"/>
      </rPr>
      <t xml:space="preserve"> FMCG (Personal Care, Home Care, Foods &amp; Refreshments)</t>
    </r>
  </si>
  <si>
    <t>Market leader in Indian FMCG with dominant brands across personal care, home care, and packaged foods.</t>
  </si>
  <si>
    <t>Asset-light, high-margin business model delivering consistent EBITDA and cash flow generation.</t>
  </si>
  <si>
    <t>Strong distribution network (8M+ outlets) providing deep rural and urban penetration.</t>
  </si>
  <si>
    <t>Premiumization and product innovation driving volume and pricing growth.</t>
  </si>
  <si>
    <t>Backing from global parent Unilever enables technology, R&amp;D, and brand leverage.</t>
  </si>
  <si>
    <t>High dependence on Indian consumption trends — slowdown impacts volume growth.</t>
  </si>
  <si>
    <t>Rising raw material inflation (palm oil, crude derivatives) pressures gross margins.</t>
  </si>
  <si>
    <t>Intense competition from regional FMCG players and D2C brands.</t>
  </si>
  <si>
    <t>Limited room for margin expansion due to already premium profitability levels.</t>
  </si>
  <si>
    <t>Valuation risk — trades at consistently high P/E vs peers.</t>
  </si>
  <si>
    <t>After-tax</t>
  </si>
  <si>
    <t>Cost of Debt</t>
  </si>
  <si>
    <t>Amount</t>
  </si>
  <si>
    <t>SCREENER.IN</t>
  </si>
  <si>
    <t>Narration</t>
  </si>
  <si>
    <t>Trailing</t>
  </si>
  <si>
    <t>Best Case</t>
  </si>
  <si>
    <t>Worst Case</t>
  </si>
  <si>
    <t>Expenses</t>
  </si>
  <si>
    <t>Operating Profit</t>
  </si>
  <si>
    <t>Other Income</t>
  </si>
  <si>
    <t>Depreciation</t>
  </si>
  <si>
    <t>Interest</t>
  </si>
  <si>
    <t>Profit before tax</t>
  </si>
  <si>
    <t>Tax</t>
  </si>
  <si>
    <t>Net profit</t>
  </si>
  <si>
    <t>EPS</t>
  </si>
  <si>
    <t>Price to earning</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</si>
  <si>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</si>
  <si>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</si>
  <si>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</si>
  <si>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</si>
  <si>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</si>
  <si>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</si>
  <si>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</si>
  <si>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</si>
  <si>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</si>
  <si>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</si>
  <si>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</si>
  <si>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</si>
  <si>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</si>
  <si>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</si>
  <si>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</si>
  <si>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</si>
  <si>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</si>
  <si>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</si>
  <si>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</si>
  <si>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</si>
  <si>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</si>
  <si>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</si>
  <si>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</si>
  <si>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</si>
  <si>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</si>
  <si>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</si>
  <si>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</si>
  <si>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</si>
  <si>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</si>
  <si>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</si>
  <si>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</si>
  <si>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</si>
  <si>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COMPANY NAME</t>
  </si>
  <si>
    <t>HINDUSTAN UNILEVER LTD</t>
  </si>
  <si>
    <t>LATEST VERSION</t>
  </si>
  <si>
    <t>PLEASE DO NOT MAKE ANY CHANGES TO THIS SHEET</t>
  </si>
  <si>
    <t>CURRENT VERSION</t>
  </si>
  <si>
    <t>META</t>
  </si>
  <si>
    <t>Number of shares</t>
  </si>
  <si>
    <t>Face Value</t>
  </si>
  <si>
    <t>Current Price</t>
  </si>
  <si>
    <t>Market Capitalization</t>
  </si>
  <si>
    <t>PROFIT &amp; LOSS</t>
  </si>
  <si>
    <t>Report Date</t>
  </si>
  <si>
    <t>Raw Material Cost</t>
  </si>
  <si>
    <t>Change in Inventory</t>
  </si>
  <si>
    <t>Power and Fuel</t>
  </si>
  <si>
    <t>Other Mfr. Exp</t>
  </si>
  <si>
    <t>Employee Cost</t>
  </si>
  <si>
    <t>Selling and admin</t>
  </si>
  <si>
    <t>Other Expenses</t>
  </si>
  <si>
    <t>Dividend Amount</t>
  </si>
  <si>
    <t>Quarters</t>
  </si>
  <si>
    <t>BALANCE SHEET</t>
  </si>
  <si>
    <t>Receivables</t>
  </si>
  <si>
    <t>Cash &amp; Bank</t>
  </si>
  <si>
    <t>No. of Equity Shares</t>
  </si>
  <si>
    <t>New Bonus Shares</t>
  </si>
  <si>
    <t>Face value</t>
  </si>
  <si>
    <t>CASH FLOW:</t>
  </si>
  <si>
    <t>PRICE:</t>
  </si>
  <si>
    <t>DERIVED:</t>
  </si>
  <si>
    <t>Adjusted Equity Shares in Cr</t>
  </si>
  <si>
    <r>
      <t>Cash from Operating Activity </t>
    </r>
    <r>
      <rPr>
        <sz val="11"/>
        <color rgb="FF665EFD"/>
        <rFont val="Arial"/>
        <family val="2"/>
      </rPr>
      <t>-</t>
    </r>
  </si>
  <si>
    <t>Profit from operations</t>
  </si>
  <si>
    <t>Payables</t>
  </si>
  <si>
    <t>Loans Advances</t>
  </si>
  <si>
    <t>Operating Deposits</t>
  </si>
  <si>
    <t>Other WC items</t>
  </si>
  <si>
    <t>Working capital changes</t>
  </si>
  <si>
    <t>Direct taxes</t>
  </si>
  <si>
    <t>Other operating items</t>
  </si>
  <si>
    <t>Exceptional CF items</t>
  </si>
  <si>
    <r>
      <t>Cash from Investing Activity </t>
    </r>
    <r>
      <rPr>
        <sz val="11"/>
        <color rgb="FF665EFD"/>
        <rFont val="Arial"/>
        <family val="2"/>
      </rPr>
      <t>-</t>
    </r>
  </si>
  <si>
    <t>Fixed assets purchased</t>
  </si>
  <si>
    <t>Fixed assets sold</t>
  </si>
  <si>
    <t>Investments purchased</t>
  </si>
  <si>
    <t>Investments sold</t>
  </si>
  <si>
    <t>Interest received</t>
  </si>
  <si>
    <t>Dividends received</t>
  </si>
  <si>
    <t>Invest in subsidiaries</t>
  </si>
  <si>
    <t>Loans to subsidiaries</t>
  </si>
  <si>
    <t>Redemp n Canc of Shares</t>
  </si>
  <si>
    <t>Acquisition of companies</t>
  </si>
  <si>
    <t>Other investing items</t>
  </si>
  <si>
    <r>
      <t>Cash from Financing Activity </t>
    </r>
    <r>
      <rPr>
        <sz val="11"/>
        <color rgb="FF665EFD"/>
        <rFont val="Arial"/>
        <family val="2"/>
      </rPr>
      <t>-</t>
    </r>
  </si>
  <si>
    <t>Proceeds from shares</t>
  </si>
  <si>
    <t>Proceeds from borrowings</t>
  </si>
  <si>
    <t>Repayment of borrowings</t>
  </si>
  <si>
    <t>Interest paid fin</t>
  </si>
  <si>
    <t>Dividends paid</t>
  </si>
  <si>
    <t>Financial liabilities</t>
  </si>
  <si>
    <t>Other financing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</si>
</sst>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9" formatCode="0.000"/>
    <numFmt numFmtId="170" formatCode="0%;\(0%\)"/>
    <numFmt numFmtId="171" formatCode="0.0\x"/>
    <numFmt numFmtId="172" formatCode="0.0%;\(0.0%\)"/>
    <numFmt numFmtId="173" formatCode="0.0%"/>
    <numFmt numFmtId="174" formatCode="0\A"/>
    <numFmt numFmtId="175" formatCode="0&quot;E&quot;"/>
    <numFmt numFmtId="176" formatCode="_ [$₹-4009]\ * #,##0.00_ ;_ [$₹-4009]\ * \-#,##0.00_ ;_ [$₹-4009]\ * &quot;-&quot;??_ ;_ @_ "/>
    <numFmt numFmtId="177" formatCode="[$-409]mmm\-yy;@"/>
    <numFmt numFmtId="178" formatCode="_(* #,##0.00_);_(* \(#,##0.00\);_(* &quot;-&quot;??_);_(@_)"/>
    <numFmt numFmtId="183" formatCode="_ * #,##0_ ;_ * \-#,##0_ ;_ * &quot;-&quot;??_ ;_ @_ "/>
  </numFmts>
  <fonts count="35"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Arial"/>
      <family val="2"/>
    </font>
    <font>
      <u/>
      <sz val="10"/>
      <color rgb="FF0000FF"/>
      <name val="Arial"/>
      <family val="2"/>
    </font>
    <font>
      <b/>
      <sz val="16"/>
      <color theme="1"/>
      <name val="Calibri"/>
      <family val="2"/>
      <scheme val="minor"/>
    </font>
    <font>
      <b/>
      <u/>
      <sz val="11"/>
      <color theme="1"/>
      <name val="Calibri"/>
      <family val="2"/>
      <scheme val="minor"/>
    </font>
    <font>
      <sz val="11"/>
      <color rgb="FF7030A0"/>
      <name val="Calibri"/>
      <family val="2"/>
      <scheme val="minor"/>
    </font>
    <font>
      <sz val="11"/>
      <color theme="1"/>
      <name val="Calibri"/>
      <family val="2"/>
      <scheme val="minor"/>
    </font>
    <font>
      <b/>
      <sz val="12"/>
      <color rgb="FFC00000"/>
      <name val="Calibri"/>
      <family val="2"/>
      <scheme val="minor"/>
    </font>
    <font>
      <b/>
      <sz val="12"/>
      <color theme="1"/>
      <name val="Calibri"/>
      <family val="2"/>
      <scheme val="minor"/>
    </font>
    <font>
      <sz val="12"/>
      <color theme="4"/>
      <name val="Calibri"/>
      <family val="2"/>
      <scheme val="minor"/>
    </font>
    <font>
      <u/>
      <sz val="11"/>
      <color theme="1"/>
      <name val="Calibri"/>
      <family val="2"/>
      <scheme val="minor"/>
    </font>
    <font>
      <sz val="11"/>
      <name val="Calibri"/>
      <family val="2"/>
      <scheme val="minor"/>
    </font>
    <font>
      <sz val="11"/>
      <color theme="9"/>
      <name val="Calibri"/>
      <family val="2"/>
      <scheme val="minor"/>
    </font>
    <font>
      <i/>
      <sz val="11"/>
      <color theme="1"/>
      <name val="Calibri"/>
      <family val="2"/>
      <scheme val="minor"/>
    </font>
    <font>
      <i/>
      <sz val="11"/>
      <name val="Calibri"/>
      <family val="2"/>
      <scheme val="minor"/>
    </font>
    <font>
      <b/>
      <sz val="11"/>
      <name val="Calibri"/>
      <family val="2"/>
      <scheme val="minor"/>
    </font>
    <font>
      <sz val="11"/>
      <color rgb="FFC00000"/>
      <name val="Calibri"/>
      <family val="2"/>
      <scheme val="minor"/>
    </font>
    <font>
      <i/>
      <sz val="11"/>
      <color rgb="FF7030A0"/>
      <name val="Calibri"/>
      <family val="2"/>
      <scheme val="minor"/>
    </font>
    <font>
      <i/>
      <sz val="11"/>
      <color rgb="FFC00000"/>
      <name val="Calibri"/>
      <family val="2"/>
      <scheme val="minor"/>
    </font>
    <font>
      <sz val="11"/>
      <color theme="4"/>
      <name val="Calibri"/>
      <family val="2"/>
      <scheme val="minor"/>
    </font>
    <font>
      <sz val="12"/>
      <color theme="1"/>
      <name val="Calibri"/>
      <family val="2"/>
      <scheme val="minor"/>
    </font>
    <font>
      <u/>
      <sz val="11"/>
      <color theme="9"/>
      <name val="Calibri"/>
      <family val="2"/>
      <scheme val="minor"/>
    </font>
    <font>
      <b/>
      <sz val="12"/>
      <color theme="0"/>
      <name val="Calibri"/>
      <family val="2"/>
      <scheme val="minor"/>
    </font>
    <font>
      <b/>
      <u val="singleAccounting"/>
      <sz val="12"/>
      <color theme="0"/>
      <name val="Calibri"/>
      <family val="2"/>
      <scheme val="minor"/>
    </font>
    <font>
      <sz val="11"/>
      <color rgb="FF0070C0"/>
      <name val="Calibri"/>
      <family val="2"/>
      <scheme val="minor"/>
    </font>
    <font>
      <b/>
      <u/>
      <sz val="11"/>
      <name val="Calibri"/>
      <family val="2"/>
      <scheme val="minor"/>
    </font>
    <font>
      <b/>
      <sz val="11"/>
      <color rgb="FFFF0000"/>
      <name val="Calibri"/>
      <family val="2"/>
      <scheme val="minor"/>
    </font>
    <font>
      <sz val="11"/>
      <color rgb="FF606F7B"/>
      <name val="Arial"/>
      <family val="2"/>
    </font>
    <font>
      <sz val="11"/>
      <color rgb="FF22222F"/>
      <name val="Arial"/>
      <family val="2"/>
    </font>
    <font>
      <sz val="11"/>
      <color rgb="FF665EFD"/>
      <name val="Arial"/>
      <family val="2"/>
    </font>
    <font>
      <sz val="11"/>
      <color rgb="FF22222F"/>
      <name val="Arial"/>
      <family val="2"/>
    </font>
    <font>
      <sz val="10"/>
      <color rgb="FFE6E8F0"/>
      <name val="Arial"/>
      <family val="2"/>
    </font>
  </fonts>
  <fills count="14">
    <fill>
      <patternFill patternType="none"/>
    </fill>
    <fill>
      <patternFill patternType="gray125"/>
    </fill>
    <fill>
      <patternFill patternType="solid">
        <fgColor theme="7" tint="0.79998168889431442"/>
        <bgColor indexed="64"/>
      </patternFill>
    </fill>
    <fill>
      <patternFill patternType="solid">
        <fgColor rgb="FF002060"/>
        <bgColor indexed="64"/>
      </patternFill>
    </fill>
    <fill>
      <patternFill patternType="solid">
        <fgColor theme="3"/>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bgColor indexed="64"/>
      </patternFill>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FFFFFF"/>
        <bgColor indexed="64"/>
      </patternFill>
    </fill>
    <fill>
      <patternFill patternType="solid">
        <fgColor rgb="FFF8F8FC"/>
        <bgColor indexed="64"/>
      </patternFill>
    </fill>
  </fills>
  <borders count="14">
    <border>
      <left/>
      <right/>
      <top/>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thin">
        <color indexed="64"/>
      </bottom>
      <diagonal/>
    </border>
    <border>
      <left/>
      <right/>
      <top/>
      <bottom style="medium">
        <color rgb="FFDBE4F0"/>
      </bottom>
      <diagonal/>
    </border>
    <border>
      <left/>
      <right/>
      <top style="medium">
        <color rgb="FFDBE4F0"/>
      </top>
      <bottom/>
      <diagonal/>
    </border>
  </borders>
  <cellStyleXfs count="10">
    <xf numFmtId="0" fontId="0" fillId="0" borderId="0"/>
    <xf numFmtId="0" fontId="4" fillId="0" borderId="0"/>
    <xf numFmtId="0" fontId="5" fillId="0" borderId="0"/>
    <xf numFmtId="9" fontId="9" fillId="0" borderId="0" applyFont="0" applyFill="0" applyBorder="0" applyAlignment="0" applyProtection="0"/>
    <xf numFmtId="0" fontId="23" fillId="0" borderId="0"/>
    <xf numFmtId="9" fontId="23" fillId="0" borderId="0" applyFont="0" applyFill="0" applyBorder="0" applyAlignment="0" applyProtection="0"/>
    <xf numFmtId="43" fontId="9" fillId="0" borderId="0" applyFont="0" applyFill="0" applyBorder="0" applyAlignment="0" applyProtection="0"/>
    <xf numFmtId="0" fontId="9" fillId="8" borderId="0" applyNumberFormat="0" applyBorder="0" applyAlignment="0" applyProtection="0"/>
    <xf numFmtId="0" fontId="9" fillId="9" borderId="0" applyNumberFormat="0" applyBorder="0" applyAlignment="0" applyProtection="0"/>
    <xf numFmtId="0" fontId="3" fillId="10" borderId="0" applyNumberFormat="0" applyBorder="0" applyAlignment="0" applyProtection="0"/>
  </cellStyleXfs>
  <cellXfs count="175">
    <xf numFmtId="0" fontId="0" fillId="0" borderId="0" xfId="0"/>
    <xf numFmtId="0" fontId="0" fillId="0" borderId="2" xfId="0" applyBorder="1"/>
    <xf numFmtId="0" fontId="6" fillId="0" borderId="2" xfId="0" applyFont="1" applyBorder="1"/>
    <xf numFmtId="0" fontId="0" fillId="0" borderId="0" xfId="0" applyAlignment="1">
      <alignment horizontal="center"/>
    </xf>
    <xf numFmtId="0" fontId="7" fillId="0" borderId="0" xfId="0" applyFont="1"/>
    <xf numFmtId="0" fontId="0" fillId="0" borderId="2" xfId="0" applyBorder="1" applyAlignment="1">
      <alignment horizontal="center"/>
    </xf>
    <xf numFmtId="0" fontId="1" fillId="4" borderId="0" xfId="0" applyFont="1" applyFill="1"/>
    <xf numFmtId="0" fontId="0" fillId="2" borderId="1" xfId="0" applyFill="1" applyBorder="1" applyAlignment="1">
      <alignment horizontal="center"/>
    </xf>
    <xf numFmtId="14" fontId="0" fillId="2" borderId="1" xfId="0" applyNumberFormat="1" applyFill="1" applyBorder="1"/>
    <xf numFmtId="2" fontId="0" fillId="0" borderId="0" xfId="0" applyNumberFormat="1"/>
    <xf numFmtId="170" fontId="0" fillId="0" borderId="0" xfId="0" applyNumberFormat="1"/>
    <xf numFmtId="0" fontId="1" fillId="7" borderId="0" xfId="0" applyFont="1" applyFill="1"/>
    <xf numFmtId="0" fontId="3" fillId="7" borderId="0" xfId="0" applyFont="1" applyFill="1"/>
    <xf numFmtId="0" fontId="13" fillId="0" borderId="0" xfId="0" applyFont="1"/>
    <xf numFmtId="0" fontId="7" fillId="0" borderId="0" xfId="0" applyFont="1" applyAlignment="1">
      <alignment horizontal="center"/>
    </xf>
    <xf numFmtId="172" fontId="0" fillId="2" borderId="1" xfId="0" applyNumberFormat="1" applyFill="1" applyBorder="1" applyAlignment="1">
      <alignment horizontal="center"/>
    </xf>
    <xf numFmtId="0" fontId="0" fillId="0" borderId="0" xfId="0" quotePrefix="1" applyAlignment="1">
      <alignment horizontal="center"/>
    </xf>
    <xf numFmtId="173" fontId="0" fillId="2" borderId="1" xfId="3" applyNumberFormat="1" applyFont="1" applyFill="1" applyBorder="1" applyAlignment="1">
      <alignment horizontal="center"/>
    </xf>
    <xf numFmtId="173" fontId="0" fillId="0" borderId="0" xfId="3" applyNumberFormat="1" applyFont="1" applyFill="1" applyBorder="1" applyAlignment="1">
      <alignment horizontal="center"/>
    </xf>
    <xf numFmtId="174" fontId="1" fillId="4" borderId="0" xfId="0" applyNumberFormat="1" applyFont="1" applyFill="1"/>
    <xf numFmtId="175" fontId="1" fillId="4" borderId="0" xfId="0" applyNumberFormat="1" applyFont="1" applyFill="1"/>
    <xf numFmtId="0" fontId="14" fillId="0" borderId="0" xfId="0" applyFont="1"/>
    <xf numFmtId="37" fontId="15" fillId="0" borderId="0" xfId="0" applyNumberFormat="1" applyFont="1"/>
    <xf numFmtId="0" fontId="16" fillId="0" borderId="0" xfId="0" applyFont="1" applyAlignment="1">
      <alignment horizontal="left" indent="1"/>
    </xf>
    <xf numFmtId="9" fontId="0" fillId="0" borderId="0" xfId="0" quotePrefix="1" applyNumberFormat="1" applyAlignment="1">
      <alignment horizontal="right"/>
    </xf>
    <xf numFmtId="170" fontId="16" fillId="0" borderId="0" xfId="3" applyNumberFormat="1" applyFont="1"/>
    <xf numFmtId="170" fontId="16" fillId="0" borderId="0" xfId="0" quotePrefix="1" applyNumberFormat="1" applyFont="1" applyAlignment="1">
      <alignment horizontal="right"/>
    </xf>
    <xf numFmtId="170" fontId="17" fillId="0" borderId="0" xfId="0" quotePrefix="1" applyNumberFormat="1" applyFont="1" applyAlignment="1">
      <alignment horizontal="right"/>
    </xf>
    <xf numFmtId="0" fontId="14" fillId="0" borderId="0" xfId="0" applyFont="1" applyAlignment="1">
      <alignment horizontal="center"/>
    </xf>
    <xf numFmtId="0" fontId="18" fillId="0" borderId="0" xfId="0" applyFont="1"/>
    <xf numFmtId="37" fontId="19" fillId="0" borderId="0" xfId="0" applyNumberFormat="1" applyFont="1"/>
    <xf numFmtId="1" fontId="19" fillId="0" borderId="0" xfId="0" applyNumberFormat="1" applyFont="1"/>
    <xf numFmtId="0" fontId="16" fillId="0" borderId="0" xfId="0" applyFont="1"/>
    <xf numFmtId="9" fontId="16" fillId="0" borderId="0" xfId="0" quotePrefix="1" applyNumberFormat="1" applyFont="1" applyAlignment="1">
      <alignment horizontal="right"/>
    </xf>
    <xf numFmtId="9" fontId="18" fillId="0" borderId="0" xfId="0" applyNumberFormat="1" applyFont="1"/>
    <xf numFmtId="0" fontId="0" fillId="0" borderId="0" xfId="0" quotePrefix="1" applyAlignment="1">
      <alignment horizontal="right"/>
    </xf>
    <xf numFmtId="37" fontId="8" fillId="0" borderId="0" xfId="0" applyNumberFormat="1" applyFont="1"/>
    <xf numFmtId="37" fontId="14" fillId="0" borderId="0" xfId="0" applyNumberFormat="1" applyFont="1"/>
    <xf numFmtId="170" fontId="20" fillId="0" borderId="0" xfId="0" quotePrefix="1" applyNumberFormat="1" applyFont="1" applyAlignment="1">
      <alignment horizontal="right"/>
    </xf>
    <xf numFmtId="170" fontId="17" fillId="0" borderId="0" xfId="0" applyNumberFormat="1" applyFont="1" applyAlignment="1">
      <alignment horizontal="right"/>
    </xf>
    <xf numFmtId="9" fontId="20" fillId="2" borderId="1" xfId="3" applyFont="1" applyFill="1" applyBorder="1" applyAlignment="1">
      <alignment horizontal="right"/>
    </xf>
    <xf numFmtId="0" fontId="0" fillId="0" borderId="3" xfId="0" applyBorder="1"/>
    <xf numFmtId="0" fontId="0" fillId="0" borderId="4" xfId="0" applyBorder="1"/>
    <xf numFmtId="37" fontId="0" fillId="0" borderId="4" xfId="0" applyNumberFormat="1" applyBorder="1"/>
    <xf numFmtId="37" fontId="0" fillId="0" borderId="5" xfId="0" applyNumberFormat="1" applyBorder="1"/>
    <xf numFmtId="37" fontId="0" fillId="0" borderId="0" xfId="0" applyNumberFormat="1"/>
    <xf numFmtId="37" fontId="22" fillId="0" borderId="0" xfId="0" applyNumberFormat="1" applyFont="1"/>
    <xf numFmtId="9" fontId="16" fillId="2" borderId="1" xfId="3" applyFont="1" applyFill="1" applyBorder="1" applyAlignment="1">
      <alignment horizontal="right"/>
    </xf>
    <xf numFmtId="9" fontId="21" fillId="2" borderId="1" xfId="3" applyFont="1" applyFill="1" applyBorder="1" applyAlignment="1">
      <alignment horizontal="right"/>
    </xf>
    <xf numFmtId="9" fontId="17" fillId="2" borderId="1" xfId="3" applyFont="1" applyFill="1" applyBorder="1" applyAlignment="1">
      <alignment horizontal="right"/>
    </xf>
    <xf numFmtId="170" fontId="21" fillId="0" borderId="0" xfId="0" quotePrefix="1" applyNumberFormat="1" applyFont="1" applyAlignment="1">
      <alignment horizontal="right"/>
    </xf>
    <xf numFmtId="169" fontId="0" fillId="0" borderId="0" xfId="0" applyNumberFormat="1"/>
    <xf numFmtId="0" fontId="0" fillId="0" borderId="6" xfId="0" applyBorder="1"/>
    <xf numFmtId="0" fontId="0" fillId="0" borderId="7" xfId="0" applyBorder="1"/>
    <xf numFmtId="37" fontId="0" fillId="0" borderId="7" xfId="0" applyNumberFormat="1" applyBorder="1"/>
    <xf numFmtId="37" fontId="0" fillId="0" borderId="8" xfId="0" applyNumberFormat="1" applyBorder="1"/>
    <xf numFmtId="0" fontId="0" fillId="0" borderId="9" xfId="0" applyBorder="1"/>
    <xf numFmtId="37" fontId="0" fillId="0" borderId="2" xfId="0" applyNumberFormat="1" applyBorder="1"/>
    <xf numFmtId="37" fontId="0" fillId="0" borderId="10" xfId="0" applyNumberFormat="1" applyBorder="1"/>
    <xf numFmtId="0" fontId="5" fillId="0" borderId="0" xfId="2"/>
    <xf numFmtId="0" fontId="11" fillId="0" borderId="2" xfId="0" applyFont="1" applyBorder="1"/>
    <xf numFmtId="14" fontId="0" fillId="2" borderId="11" xfId="0" applyNumberFormat="1" applyFill="1" applyBorder="1" applyAlignment="1">
      <alignment horizontal="center" vertical="center"/>
    </xf>
    <xf numFmtId="0" fontId="10" fillId="0" borderId="2" xfId="0" applyFont="1" applyBorder="1" applyAlignment="1">
      <alignment horizontal="center"/>
    </xf>
    <xf numFmtId="14" fontId="5" fillId="2" borderId="11" xfId="2" applyNumberFormat="1" applyFill="1" applyBorder="1" applyAlignment="1">
      <alignment horizontal="center" vertical="center"/>
    </xf>
    <xf numFmtId="0" fontId="16" fillId="0" borderId="0" xfId="0" applyFont="1" applyAlignment="1">
      <alignment horizontal="center"/>
    </xf>
    <xf numFmtId="0" fontId="11" fillId="0" borderId="0" xfId="0" applyFont="1" applyAlignment="1">
      <alignment vertical="center"/>
    </xf>
    <xf numFmtId="0" fontId="11" fillId="0" borderId="0" xfId="0" applyFont="1" applyAlignment="1">
      <alignment horizontal="center" vertical="center"/>
    </xf>
    <xf numFmtId="0" fontId="11" fillId="0" borderId="0" xfId="0" quotePrefix="1" applyFont="1" applyAlignment="1">
      <alignment horizontal="center" vertical="center"/>
    </xf>
    <xf numFmtId="0" fontId="12" fillId="0" borderId="0" xfId="0" applyFont="1"/>
    <xf numFmtId="176" fontId="0" fillId="0" borderId="4" xfId="0" applyNumberFormat="1" applyBorder="1" applyAlignment="1">
      <alignment horizontal="center"/>
    </xf>
    <xf numFmtId="3" fontId="0" fillId="0" borderId="4" xfId="0" applyNumberFormat="1" applyBorder="1" applyAlignment="1">
      <alignment horizontal="center" vertical="center"/>
    </xf>
    <xf numFmtId="170" fontId="0" fillId="0" borderId="4" xfId="3" applyNumberFormat="1" applyFont="1" applyBorder="1" applyAlignment="1">
      <alignment horizontal="center"/>
    </xf>
    <xf numFmtId="171" fontId="0" fillId="0" borderId="4" xfId="0" applyNumberFormat="1" applyBorder="1" applyAlignment="1">
      <alignment horizontal="center"/>
    </xf>
    <xf numFmtId="3" fontId="0" fillId="0" borderId="0" xfId="0" applyNumberFormat="1" applyAlignment="1">
      <alignment horizontal="center" vertical="center"/>
    </xf>
    <xf numFmtId="170" fontId="15" fillId="0" borderId="0" xfId="3" applyNumberFormat="1" applyFont="1" applyBorder="1" applyAlignment="1">
      <alignment horizontal="center"/>
    </xf>
    <xf numFmtId="170" fontId="0" fillId="0" borderId="0" xfId="3" applyNumberFormat="1" applyFont="1" applyBorder="1" applyAlignment="1">
      <alignment horizontal="center"/>
    </xf>
    <xf numFmtId="171" fontId="0" fillId="0" borderId="0" xfId="0" applyNumberFormat="1" applyAlignment="1">
      <alignment horizontal="center"/>
    </xf>
    <xf numFmtId="176" fontId="0" fillId="0" borderId="0" xfId="0" applyNumberFormat="1" applyAlignment="1">
      <alignment horizontal="center"/>
    </xf>
    <xf numFmtId="170" fontId="0" fillId="0" borderId="0" xfId="3" applyNumberFormat="1" applyFont="1" applyAlignment="1">
      <alignment horizontal="center"/>
    </xf>
    <xf numFmtId="0" fontId="0" fillId="0" borderId="0" xfId="0" applyAlignment="1">
      <alignment vertical="center" wrapText="1"/>
    </xf>
    <xf numFmtId="0" fontId="11" fillId="6" borderId="6" xfId="0" applyFont="1" applyFill="1" applyBorder="1"/>
    <xf numFmtId="0" fontId="0" fillId="6" borderId="7" xfId="0" applyFill="1" applyBorder="1"/>
    <xf numFmtId="170" fontId="11" fillId="6" borderId="7" xfId="0" applyNumberFormat="1" applyFont="1" applyFill="1" applyBorder="1" applyAlignment="1">
      <alignment horizontal="center"/>
    </xf>
    <xf numFmtId="0" fontId="11" fillId="6" borderId="9" xfId="0" applyFont="1" applyFill="1" applyBorder="1"/>
    <xf numFmtId="0" fontId="0" fillId="6" borderId="2" xfId="0" applyFill="1" applyBorder="1"/>
    <xf numFmtId="170" fontId="11" fillId="6" borderId="2" xfId="0" applyNumberFormat="1" applyFont="1" applyFill="1" applyBorder="1" applyAlignment="1">
      <alignment horizontal="center"/>
    </xf>
    <xf numFmtId="171" fontId="0" fillId="0" borderId="0" xfId="0" applyNumberFormat="1" applyAlignment="1">
      <alignment horizontal="center" vertical="center"/>
    </xf>
    <xf numFmtId="1" fontId="0" fillId="0" borderId="0" xfId="0" quotePrefix="1" applyNumberFormat="1" applyAlignment="1">
      <alignment horizontal="center" vertical="center"/>
    </xf>
    <xf numFmtId="3" fontId="0" fillId="2" borderId="0" xfId="0" applyNumberFormat="1" applyFill="1" applyAlignment="1">
      <alignment horizontal="center" vertical="center"/>
    </xf>
    <xf numFmtId="0" fontId="25" fillId="3" borderId="0" xfId="0" applyFont="1" applyFill="1" applyAlignment="1">
      <alignment vertical="center"/>
    </xf>
    <xf numFmtId="0" fontId="3" fillId="3" borderId="0" xfId="0" applyFont="1" applyFill="1" applyAlignment="1">
      <alignment horizontal="right" vertical="center"/>
    </xf>
    <xf numFmtId="0" fontId="25" fillId="3" borderId="0" xfId="0" applyFont="1" applyFill="1" applyAlignment="1">
      <alignment horizontal="center" vertical="center"/>
    </xf>
    <xf numFmtId="0" fontId="26" fillId="3" borderId="0" xfId="0" applyFont="1" applyFill="1" applyAlignment="1">
      <alignment horizontal="centerContinuous" vertical="center"/>
    </xf>
    <xf numFmtId="0" fontId="25" fillId="3" borderId="2" xfId="0" applyFont="1" applyFill="1" applyBorder="1" applyAlignment="1">
      <alignment vertical="center"/>
    </xf>
    <xf numFmtId="0" fontId="25" fillId="3" borderId="2" xfId="0" applyFont="1" applyFill="1" applyBorder="1" applyAlignment="1">
      <alignment horizontal="center" vertical="center"/>
    </xf>
    <xf numFmtId="0" fontId="25" fillId="3" borderId="2" xfId="0" quotePrefix="1" applyFont="1" applyFill="1" applyBorder="1" applyAlignment="1">
      <alignment horizontal="center" vertical="center"/>
    </xf>
    <xf numFmtId="10" fontId="27" fillId="2" borderId="4" xfId="3" applyNumberFormat="1" applyFont="1" applyFill="1" applyBorder="1" applyAlignment="1">
      <alignment horizontal="center" vertical="center"/>
    </xf>
    <xf numFmtId="10" fontId="27" fillId="2" borderId="0" xfId="3" applyNumberFormat="1" applyFont="1" applyFill="1" applyBorder="1" applyAlignment="1">
      <alignment horizontal="center" vertical="center"/>
    </xf>
    <xf numFmtId="0" fontId="1" fillId="0" borderId="0" xfId="0" applyFont="1"/>
    <xf numFmtId="0" fontId="28" fillId="5" borderId="0" xfId="0" applyFont="1" applyFill="1"/>
    <xf numFmtId="0" fontId="14" fillId="5" borderId="0" xfId="0" applyFont="1" applyFill="1"/>
    <xf numFmtId="0" fontId="5" fillId="5" borderId="0" xfId="2" applyFill="1"/>
    <xf numFmtId="0" fontId="22" fillId="0" borderId="0" xfId="0" applyFont="1" applyAlignment="1">
      <alignment vertical="center"/>
    </xf>
    <xf numFmtId="170" fontId="24" fillId="0" borderId="4" xfId="2" applyNumberFormat="1" applyFont="1" applyBorder="1" applyAlignment="1">
      <alignment horizontal="center"/>
    </xf>
    <xf numFmtId="170" fontId="15" fillId="0" borderId="0" xfId="3" applyNumberFormat="1" applyFont="1" applyFill="1" applyBorder="1" applyAlignment="1">
      <alignment horizontal="center"/>
    </xf>
    <xf numFmtId="170" fontId="24" fillId="0" borderId="0" xfId="2" applyNumberFormat="1" applyFont="1" applyAlignment="1">
      <alignment horizontal="center"/>
    </xf>
    <xf numFmtId="3" fontId="22" fillId="0" borderId="0" xfId="0" applyNumberFormat="1" applyFont="1" applyAlignment="1">
      <alignment horizontal="center" vertical="center"/>
    </xf>
    <xf numFmtId="4" fontId="0" fillId="0" borderId="0" xfId="0" applyNumberFormat="1" applyAlignment="1">
      <alignment horizontal="center" vertical="center"/>
    </xf>
    <xf numFmtId="4" fontId="0" fillId="0" borderId="4" xfId="0" applyNumberFormat="1" applyBorder="1" applyAlignment="1">
      <alignment horizontal="center" vertical="center"/>
    </xf>
    <xf numFmtId="3" fontId="0" fillId="2" borderId="4" xfId="0" applyNumberFormat="1" applyFill="1" applyBorder="1" applyAlignment="1">
      <alignment horizontal="left" vertical="center" wrapText="1"/>
    </xf>
    <xf numFmtId="3" fontId="0" fillId="2" borderId="0" xfId="0" applyNumberFormat="1" applyFill="1" applyAlignment="1">
      <alignment horizontal="left" vertical="center" wrapText="1"/>
    </xf>
    <xf numFmtId="10" fontId="0" fillId="0" borderId="0" xfId="0" applyNumberFormat="1"/>
    <xf numFmtId="10" fontId="0" fillId="6" borderId="7" xfId="0" applyNumberFormat="1" applyFill="1" applyBorder="1" applyAlignment="1">
      <alignment horizontal="center"/>
    </xf>
    <xf numFmtId="10" fontId="0" fillId="6" borderId="2" xfId="0" applyNumberFormat="1" applyFill="1" applyBorder="1" applyAlignment="1">
      <alignment horizontal="center"/>
    </xf>
    <xf numFmtId="2" fontId="0" fillId="6" borderId="7" xfId="3" applyNumberFormat="1" applyFont="1" applyFill="1" applyBorder="1" applyAlignment="1">
      <alignment horizontal="center"/>
    </xf>
    <xf numFmtId="2" fontId="0" fillId="6" borderId="2" xfId="3" applyNumberFormat="1" applyFont="1" applyFill="1" applyBorder="1" applyAlignment="1">
      <alignment horizontal="center"/>
    </xf>
    <xf numFmtId="0" fontId="0" fillId="2" borderId="0" xfId="0" applyFill="1" applyAlignment="1">
      <alignment horizontal="center" vertical="center" wrapText="1"/>
    </xf>
    <xf numFmtId="2" fontId="0" fillId="6" borderId="7" xfId="0" applyNumberFormat="1" applyFill="1" applyBorder="1" applyAlignment="1">
      <alignment horizontal="center"/>
    </xf>
    <xf numFmtId="2" fontId="0" fillId="6" borderId="2" xfId="0" applyNumberFormat="1" applyFill="1" applyBorder="1" applyAlignment="1">
      <alignment horizontal="center"/>
    </xf>
    <xf numFmtId="0" fontId="5" fillId="0" borderId="0" xfId="2" applyAlignment="1">
      <alignment horizontal="center"/>
    </xf>
    <xf numFmtId="10" fontId="0" fillId="2" borderId="4" xfId="0" applyNumberFormat="1" applyFill="1" applyBorder="1" applyAlignment="1">
      <alignment horizontal="center" vertical="center" wrapText="1"/>
    </xf>
    <xf numFmtId="3" fontId="0" fillId="2" borderId="4" xfId="0" applyNumberFormat="1" applyFill="1" applyBorder="1" applyAlignment="1">
      <alignment horizontal="center" vertical="center" wrapText="1"/>
    </xf>
    <xf numFmtId="9" fontId="0" fillId="2" borderId="4" xfId="0" applyNumberFormat="1" applyFill="1" applyBorder="1" applyAlignment="1">
      <alignment horizontal="center" vertical="center" wrapText="1"/>
    </xf>
    <xf numFmtId="10" fontId="0" fillId="2" borderId="0" xfId="0" applyNumberFormat="1" applyFill="1" applyAlignment="1">
      <alignment horizontal="center" vertical="center" wrapText="1"/>
    </xf>
    <xf numFmtId="9" fontId="0" fillId="2" borderId="0" xfId="0" applyNumberFormat="1" applyFill="1" applyAlignment="1">
      <alignment horizontal="center" vertical="center" wrapText="1"/>
    </xf>
    <xf numFmtId="3" fontId="0" fillId="2" borderId="0" xfId="0" applyNumberFormat="1" applyFill="1" applyAlignment="1">
      <alignment horizontal="center" vertical="center" wrapText="1"/>
    </xf>
    <xf numFmtId="10" fontId="2" fillId="6" borderId="7" xfId="0" applyNumberFormat="1" applyFont="1" applyFill="1" applyBorder="1" applyAlignment="1">
      <alignment horizontal="center"/>
    </xf>
    <xf numFmtId="10" fontId="2" fillId="6" borderId="2" xfId="0" applyNumberFormat="1" applyFont="1" applyFill="1" applyBorder="1" applyAlignment="1">
      <alignment horizontal="center"/>
    </xf>
    <xf numFmtId="10" fontId="2" fillId="0" borderId="4" xfId="0" applyNumberFormat="1" applyFont="1" applyBorder="1" applyAlignment="1">
      <alignment horizontal="center" vertical="center" wrapText="1"/>
    </xf>
    <xf numFmtId="10" fontId="2" fillId="0" borderId="0" xfId="0" applyNumberFormat="1" applyFont="1" applyAlignment="1">
      <alignment horizontal="center" vertical="center" wrapText="1"/>
    </xf>
    <xf numFmtId="0" fontId="2" fillId="0" borderId="0" xfId="0" applyFont="1"/>
    <xf numFmtId="4" fontId="0" fillId="2" borderId="4" xfId="0" applyNumberFormat="1" applyFill="1" applyBorder="1" applyAlignment="1">
      <alignment horizontal="center" vertical="center" wrapText="1"/>
    </xf>
    <xf numFmtId="4" fontId="0" fillId="2" borderId="0" xfId="0" applyNumberFormat="1" applyFill="1" applyAlignment="1">
      <alignment horizontal="center" vertical="center" wrapText="1"/>
    </xf>
    <xf numFmtId="3" fontId="0" fillId="2" borderId="4" xfId="0" applyNumberFormat="1" applyFill="1" applyBorder="1" applyAlignment="1">
      <alignment horizontal="center" vertical="center"/>
    </xf>
    <xf numFmtId="10" fontId="22" fillId="0" borderId="0" xfId="0" applyNumberFormat="1" applyFont="1" applyAlignment="1">
      <alignment horizontal="center" vertical="center"/>
    </xf>
    <xf numFmtId="0" fontId="29" fillId="0" borderId="0" xfId="0" applyFont="1"/>
    <xf numFmtId="0" fontId="1" fillId="11" borderId="0" xfId="0" applyFont="1" applyFill="1"/>
    <xf numFmtId="177" fontId="1" fillId="11" borderId="0" xfId="0" applyNumberFormat="1" applyFont="1" applyFill="1" applyAlignment="1">
      <alignment horizontal="center"/>
    </xf>
    <xf numFmtId="0" fontId="1" fillId="11" borderId="0" xfId="0" applyFont="1" applyFill="1" applyAlignment="1">
      <alignment horizontal="center"/>
    </xf>
    <xf numFmtId="43" fontId="2" fillId="0" borderId="0" xfId="6" applyFont="1" applyBorder="1"/>
    <xf numFmtId="43" fontId="9" fillId="0" borderId="0" xfId="6" applyFont="1" applyBorder="1"/>
    <xf numFmtId="9" fontId="9" fillId="0" borderId="0" xfId="6" applyNumberFormat="1" applyFont="1" applyBorder="1"/>
    <xf numFmtId="43" fontId="1" fillId="8" borderId="0" xfId="7" applyNumberFormat="1" applyFont="1" applyBorder="1"/>
    <xf numFmtId="43" fontId="1" fillId="9" borderId="0" xfId="8" applyNumberFormat="1" applyFont="1" applyBorder="1"/>
    <xf numFmtId="10" fontId="2" fillId="0" borderId="0" xfId="0" applyNumberFormat="1" applyFont="1"/>
    <xf numFmtId="9" fontId="2" fillId="0" borderId="0" xfId="3" applyFont="1" applyBorder="1"/>
    <xf numFmtId="43" fontId="0" fillId="0" borderId="0" xfId="6" applyFont="1" applyBorder="1" applyAlignment="1">
      <alignment horizontal="center"/>
    </xf>
    <xf numFmtId="43" fontId="2" fillId="0" borderId="0" xfId="6" applyFont="1" applyBorder="1" applyAlignment="1">
      <alignment horizontal="center"/>
    </xf>
    <xf numFmtId="43" fontId="0" fillId="0" borderId="0" xfId="6" applyFont="1" applyBorder="1"/>
    <xf numFmtId="177" fontId="1" fillId="11" borderId="0" xfId="6" applyNumberFormat="1" applyFont="1" applyFill="1" applyBorder="1"/>
    <xf numFmtId="177" fontId="14" fillId="0" borderId="0" xfId="6" applyNumberFormat="1" applyFont="1" applyFill="1" applyBorder="1"/>
    <xf numFmtId="178" fontId="0" fillId="0" borderId="0" xfId="6" applyNumberFormat="1" applyFont="1" applyBorder="1"/>
    <xf numFmtId="43" fontId="5" fillId="0" borderId="0" xfId="2" applyNumberFormat="1" applyAlignment="1">
      <alignment horizontal="center"/>
    </xf>
    <xf numFmtId="43" fontId="1" fillId="10" borderId="0" xfId="9" applyNumberFormat="1" applyFont="1" applyBorder="1" applyAlignment="1">
      <alignment horizontal="center"/>
    </xf>
    <xf numFmtId="170" fontId="16" fillId="2" borderId="0" xfId="3" applyNumberFormat="1" applyFont="1" applyFill="1"/>
    <xf numFmtId="170" fontId="16" fillId="2" borderId="0" xfId="0" quotePrefix="1" applyNumberFormat="1" applyFont="1" applyFill="1" applyAlignment="1">
      <alignment horizontal="right"/>
    </xf>
    <xf numFmtId="0" fontId="0" fillId="0" borderId="0" xfId="0" applyFill="1"/>
    <xf numFmtId="183" fontId="8" fillId="0" borderId="0" xfId="0" applyNumberFormat="1" applyFont="1"/>
    <xf numFmtId="9" fontId="14" fillId="0" borderId="0" xfId="3" applyNumberFormat="1" applyFont="1"/>
    <xf numFmtId="0" fontId="0" fillId="12" borderId="0" xfId="0" applyFill="1"/>
    <xf numFmtId="17" fontId="30" fillId="12" borderId="12" xfId="0" applyNumberFormat="1" applyFont="1" applyFill="1" applyBorder="1" applyAlignment="1">
      <alignment horizontal="right" vertical="center" wrapText="1"/>
    </xf>
    <xf numFmtId="0" fontId="31" fillId="13" borderId="13" xfId="0" applyFont="1" applyFill="1" applyBorder="1" applyAlignment="1">
      <alignment horizontal="left" vertical="center" indent="2"/>
    </xf>
    <xf numFmtId="3" fontId="31" fillId="13" borderId="13" xfId="0" applyNumberFormat="1" applyFont="1" applyFill="1" applyBorder="1" applyAlignment="1">
      <alignment horizontal="right" vertical="center" wrapText="1"/>
    </xf>
    <xf numFmtId="0" fontId="31" fillId="13" borderId="13" xfId="0" applyFont="1" applyFill="1" applyBorder="1" applyAlignment="1">
      <alignment horizontal="left" vertical="center"/>
    </xf>
    <xf numFmtId="0" fontId="33" fillId="13" borderId="0" xfId="0" applyFont="1" applyFill="1" applyAlignment="1">
      <alignment horizontal="left" vertical="center"/>
    </xf>
    <xf numFmtId="0" fontId="33" fillId="13" borderId="0" xfId="0" applyFont="1" applyFill="1" applyAlignment="1">
      <alignment horizontal="right" vertical="center" wrapText="1"/>
    </xf>
    <xf numFmtId="3" fontId="33" fillId="13" borderId="0" xfId="0" applyNumberFormat="1" applyFont="1" applyFill="1" applyAlignment="1">
      <alignment horizontal="right" vertical="center" wrapText="1"/>
    </xf>
    <xf numFmtId="0" fontId="31" fillId="13" borderId="13" xfId="0" applyFont="1" applyFill="1" applyBorder="1" applyAlignment="1">
      <alignment horizontal="right" vertical="center" wrapText="1"/>
    </xf>
    <xf numFmtId="0" fontId="31" fillId="12" borderId="13" xfId="0" applyFont="1" applyFill="1" applyBorder="1" applyAlignment="1">
      <alignment horizontal="left" vertical="center" indent="2"/>
    </xf>
    <xf numFmtId="0" fontId="31" fillId="12" borderId="13" xfId="0" applyFont="1" applyFill="1" applyBorder="1" applyAlignment="1">
      <alignment horizontal="right" vertical="center" wrapText="1"/>
    </xf>
    <xf numFmtId="3" fontId="31" fillId="12" borderId="13" xfId="0" applyNumberFormat="1" applyFont="1" applyFill="1" applyBorder="1" applyAlignment="1">
      <alignment horizontal="right" vertical="center" wrapText="1"/>
    </xf>
    <xf numFmtId="0" fontId="33" fillId="12" borderId="0" xfId="0" applyFont="1" applyFill="1" applyAlignment="1">
      <alignment horizontal="left" vertical="center"/>
    </xf>
    <xf numFmtId="0" fontId="33" fillId="12" borderId="0" xfId="0" applyFont="1" applyFill="1" applyAlignment="1">
      <alignment horizontal="right" vertical="center" wrapText="1"/>
    </xf>
    <xf numFmtId="3" fontId="33" fillId="12" borderId="0" xfId="0" applyNumberFormat="1" applyFont="1" applyFill="1" applyAlignment="1">
      <alignment horizontal="right" vertical="center" wrapText="1"/>
    </xf>
    <xf numFmtId="0" fontId="34" fillId="0" borderId="0" xfId="0" applyFont="1"/>
  </cellXfs>
  <cellStyles count="10">
    <cellStyle name="60% - Accent1" xfId="7" builtinId="32"/>
    <cellStyle name="60% - Accent3" xfId="8" builtinId="40"/>
    <cellStyle name="Accent6" xfId="9" builtinId="49"/>
    <cellStyle name="Comma" xfId="6" builtinId="3"/>
    <cellStyle name="Hyperlink" xfId="2" builtinId="8"/>
    <cellStyle name="Normal" xfId="0" builtinId="0"/>
    <cellStyle name="Normal 2" xfId="1" xr:uid="{345E1C24-87D5-4DA7-B954-049716917B55}"/>
    <cellStyle name="Normal 3" xfId="4" xr:uid="{6D2DF874-F8D9-4412-92B6-CE7A3F6A51A5}"/>
    <cellStyle name="Percent" xfId="3" builtinId="5"/>
    <cellStyle name="Percent 2" xfId="5" xr:uid="{37AFFFD6-C1EF-4293-A525-A81AFA7D1A0A}"/>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7"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alcChain" Target="calcChain.xml"/><Relationship Id="rId10" Type="http://schemas.openxmlformats.org/officeDocument/2006/relationships/externalLink" Target="externalLinks/externalLink1.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4fc5d5c8c4852779/Desktop/Financial%20Database/Universe%20of%20Companies%20-%202025.03.05%20-%20UNH.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4fc5d5c8c4852779/Desktop/Models/Palantir/2024.12.04%20-%20Palantir%20DCF.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acer\Downloads\Hind.%20Unilever.xlsx" TargetMode="External"/><Relationship Id="rId1" Type="http://schemas.openxmlformats.org/officeDocument/2006/relationships/externalLinkPath" Target="Hind.%20Unilev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Database"/>
      <sheetName val="Comps"/>
      <sheetName val="XLinkMeta"/>
    </sheetNames>
    <sheetDataSet>
      <sheetData sheetId="0"/>
      <sheetData sheetId="1">
        <row r="11">
          <cell r="B11" t="str">
            <v>NVDA</v>
          </cell>
          <cell r="C11" t="str">
            <v>NVIDIA Corporation</v>
          </cell>
          <cell r="D11" t="str">
            <v>Semiconductors</v>
          </cell>
          <cell r="E11">
            <v>24300</v>
          </cell>
          <cell r="F11">
            <v>24483</v>
          </cell>
          <cell r="G11">
            <v>4483206.9933000002</v>
          </cell>
          <cell r="H11">
            <v>4431955.5</v>
          </cell>
          <cell r="I11">
            <v>60608</v>
          </cell>
          <cell r="J11">
            <v>10822</v>
          </cell>
          <cell r="K11">
            <v>-49786</v>
          </cell>
          <cell r="L11">
            <v>4433420.9933000002</v>
          </cell>
          <cell r="M11">
            <v>4427048.0684000002</v>
          </cell>
          <cell r="O11">
            <v>183.11510000000001</v>
          </cell>
          <cell r="P11">
            <v>94.31</v>
          </cell>
          <cell r="Q11">
            <v>207.04</v>
          </cell>
          <cell r="R11">
            <v>0.88444310278207117</v>
          </cell>
          <cell r="S11">
            <v>199.05</v>
          </cell>
          <cell r="T11">
            <v>177.17</v>
          </cell>
          <cell r="U11">
            <v>141.97</v>
          </cell>
          <cell r="V11">
            <v>-8.0054760110525036E-2</v>
          </cell>
          <cell r="W11">
            <v>3.3555906756222997E-2</v>
          </cell>
          <cell r="X11">
            <v>0.28981545396914843</v>
          </cell>
          <cell r="Z11">
            <v>124754.333334</v>
          </cell>
          <cell r="AA11">
            <v>206053.02</v>
          </cell>
          <cell r="AB11">
            <v>315103.96999999997</v>
          </cell>
          <cell r="AC11">
            <v>308690.46999999997</v>
          </cell>
          <cell r="AD11">
            <v>147477.14000000001</v>
          </cell>
          <cell r="AE11">
            <v>233972.3</v>
          </cell>
          <cell r="AF11">
            <v>129834.38</v>
          </cell>
          <cell r="AG11">
            <v>208813.8</v>
          </cell>
          <cell r="AH11">
            <v>79792.666670000006</v>
          </cell>
          <cell r="AI11">
            <v>130845.25</v>
          </cell>
          <cell r="AJ11">
            <v>211991.45</v>
          </cell>
          <cell r="AK11">
            <v>207138.23</v>
          </cell>
          <cell r="AL11">
            <v>5503.3459999999995</v>
          </cell>
          <cell r="AM11">
            <v>5439.8804</v>
          </cell>
          <cell r="AN11">
            <v>125341.90399999999</v>
          </cell>
          <cell r="AO11">
            <v>206551.56960000002</v>
          </cell>
          <cell r="AP11">
            <v>110860.31</v>
          </cell>
          <cell r="AQ11">
            <v>177142.69</v>
          </cell>
          <cell r="AR11">
            <v>173189.98</v>
          </cell>
          <cell r="AS11">
            <v>0.65167024257459771</v>
          </cell>
          <cell r="AT11">
            <v>0.52923732930485556</v>
          </cell>
          <cell r="AU11">
            <v>0.71572423447130273</v>
          </cell>
          <cell r="AV11">
            <v>0.74252412624315722</v>
          </cell>
          <cell r="AW11">
            <v>0.63010180583618725</v>
          </cell>
          <cell r="AX11">
            <v>0.66268222517158382</v>
          </cell>
          <cell r="AY11">
            <v>0.63959835732819126</v>
          </cell>
          <cell r="AZ11">
            <v>0.63500767909152711</v>
          </cell>
          <cell r="BA11">
            <v>0.67276667444082039</v>
          </cell>
          <cell r="BB11">
            <v>0.60829928141795742</v>
          </cell>
          <cell r="BC11">
            <v>0.65550291099156899</v>
          </cell>
          <cell r="BD11">
            <v>0.53801837022335319</v>
          </cell>
          <cell r="BE11">
            <v>0.56217219351441372</v>
          </cell>
          <cell r="BF11">
            <v>2.8281399486073357E-2</v>
          </cell>
          <cell r="BG11">
            <v>4.6605063972325542E-2</v>
          </cell>
          <cell r="BI11">
            <v>14.341382383460042</v>
          </cell>
          <cell r="BJ11">
            <v>21.484994825118314</v>
          </cell>
          <cell r="BK11">
            <v>14.049483630434743</v>
          </cell>
          <cell r="BL11">
            <v>30.018537574026727</v>
          </cell>
          <cell r="BM11">
            <v>18.921248662341654</v>
          </cell>
          <cell r="BN11">
            <v>34.097656324927186</v>
          </cell>
          <cell r="BO11">
            <v>21.200936281031236</v>
          </cell>
          <cell r="BP11">
            <v>21.37243360822384</v>
          </cell>
          <cell r="BQ11">
            <v>33.83422836060155</v>
          </cell>
          <cell r="BR11">
            <v>20.883144430589063</v>
          </cell>
          <cell r="BS11">
            <v>35.319776763563446</v>
          </cell>
          <cell r="BT11">
            <v>21.433136901226433</v>
          </cell>
          <cell r="BU11">
            <v>25.590138066878925</v>
          </cell>
          <cell r="BV11">
            <v>39.977837875430801</v>
          </cell>
          <cell r="BW11">
            <v>25.019127235789409</v>
          </cell>
          <cell r="BY11">
            <v>16.143689047619102</v>
          </cell>
          <cell r="BZ11">
            <v>17.553490573558701</v>
          </cell>
          <cell r="CA11">
            <v>17.349827195704101</v>
          </cell>
          <cell r="CB11">
            <v>24.821203472222201</v>
          </cell>
          <cell r="CC11">
            <v>27.136773944333999</v>
          </cell>
          <cell r="CD11">
            <v>31.875613451073999</v>
          </cell>
          <cell r="CE11">
            <v>29.4423514206349</v>
          </cell>
          <cell r="CF11">
            <v>31.767069238568599</v>
          </cell>
          <cell r="CG11">
            <v>38.393440772474101</v>
          </cell>
          <cell r="CI11">
            <v>-0.11164156215117804</v>
          </cell>
          <cell r="CJ11">
            <v>-0.18298971231039052</v>
          </cell>
          <cell r="CK11">
            <v>-0.17339912255661916</v>
          </cell>
          <cell r="CL11">
            <v>-0.13894450637165656</v>
          </cell>
          <cell r="CM11">
            <v>-0.21241804010803278</v>
          </cell>
          <cell r="CN11">
            <v>-0.32950518298170262</v>
          </cell>
          <cell r="CO11">
            <v>-0.13083918803632377</v>
          </cell>
          <cell r="CP11">
            <v>-0.19444447724470038</v>
          </cell>
          <cell r="CQ11">
            <v>-0.3334763034516669</v>
          </cell>
        </row>
        <row r="12">
          <cell r="B12" t="str">
            <v>AMD</v>
          </cell>
          <cell r="C12" t="str">
            <v>Advanced Micro Devices, Inc.</v>
          </cell>
          <cell r="D12" t="str">
            <v>Semiconductors</v>
          </cell>
          <cell r="E12">
            <v>1628.0415</v>
          </cell>
          <cell r="F12">
            <v>1641</v>
          </cell>
          <cell r="G12">
            <v>361020</v>
          </cell>
          <cell r="H12">
            <v>358168.8</v>
          </cell>
          <cell r="I12">
            <v>7243</v>
          </cell>
          <cell r="J12">
            <v>3870</v>
          </cell>
          <cell r="K12">
            <v>-3373</v>
          </cell>
          <cell r="L12">
            <v>357647</v>
          </cell>
          <cell r="M12">
            <v>357318.8</v>
          </cell>
          <cell r="O12">
            <v>220</v>
          </cell>
          <cell r="P12">
            <v>78.209999999999994</v>
          </cell>
          <cell r="Q12">
            <v>264.33</v>
          </cell>
          <cell r="R12">
            <v>0.8322929671244278</v>
          </cell>
          <cell r="S12">
            <v>243.98</v>
          </cell>
          <cell r="T12">
            <v>155.66999999999999</v>
          </cell>
          <cell r="U12">
            <v>116.16</v>
          </cell>
          <cell r="V12">
            <v>-9.8286744815148763E-2</v>
          </cell>
          <cell r="W12">
            <v>0.41324596903706579</v>
          </cell>
          <cell r="X12">
            <v>0.89393939393939403</v>
          </cell>
          <cell r="Z12">
            <v>25785</v>
          </cell>
          <cell r="AA12">
            <v>34008.57</v>
          </cell>
          <cell r="AB12">
            <v>44728.555</v>
          </cell>
          <cell r="AC12">
            <v>44111.79</v>
          </cell>
          <cell r="AD12">
            <v>17749.976999999999</v>
          </cell>
          <cell r="AE12">
            <v>24709.05</v>
          </cell>
          <cell r="AF12">
            <v>7384.232</v>
          </cell>
          <cell r="AG12">
            <v>12118.371999999999</v>
          </cell>
          <cell r="AH12">
            <v>5185</v>
          </cell>
          <cell r="AI12">
            <v>6672.8325000000004</v>
          </cell>
          <cell r="AJ12">
            <v>10469.762000000001</v>
          </cell>
          <cell r="AK12">
            <v>10251.308999999999</v>
          </cell>
          <cell r="AL12">
            <v>953.92303000000004</v>
          </cell>
          <cell r="AM12">
            <v>973.83954000000006</v>
          </cell>
          <cell r="AN12">
            <v>5718.9094700000005</v>
          </cell>
          <cell r="AO12">
            <v>9495.9224599999998</v>
          </cell>
          <cell r="AP12">
            <v>6532.3076000000001</v>
          </cell>
          <cell r="AQ12">
            <v>10581.356</v>
          </cell>
          <cell r="AR12">
            <v>10348.397000000001</v>
          </cell>
          <cell r="AS12">
            <v>0.31892844677137866</v>
          </cell>
          <cell r="AT12">
            <v>0.31521422394414111</v>
          </cell>
          <cell r="AU12">
            <v>0.5219265908563635</v>
          </cell>
          <cell r="AV12">
            <v>0.55242227252814224</v>
          </cell>
          <cell r="AW12">
            <v>0.21712856494701188</v>
          </cell>
          <cell r="AX12">
            <v>0.27093144413004172</v>
          </cell>
          <cell r="AY12">
            <v>0.2010859026565833</v>
          </cell>
          <cell r="AZ12">
            <v>0.19621032286861814</v>
          </cell>
          <cell r="BA12">
            <v>0.23407333413744308</v>
          </cell>
          <cell r="BB12">
            <v>0.16816083328408105</v>
          </cell>
          <cell r="BC12">
            <v>0.21230112307451021</v>
          </cell>
          <cell r="BD12">
            <v>0.19207827909259342</v>
          </cell>
          <cell r="BE12">
            <v>0.23656825041631682</v>
          </cell>
          <cell r="BF12">
            <v>1.5967078846622042E-2</v>
          </cell>
          <cell r="BG12">
            <v>2.6512422243366814E-2</v>
          </cell>
          <cell r="BI12">
            <v>8.100301529364371</v>
          </cell>
          <cell r="BJ12">
            <v>10.506728157049826</v>
          </cell>
          <cell r="BK12">
            <v>7.9886059364090789</v>
          </cell>
          <cell r="BL12">
            <v>20.130662704520688</v>
          </cell>
          <cell r="BM12">
            <v>14.461049696366311</v>
          </cell>
          <cell r="BN12">
            <v>48.389433051399251</v>
          </cell>
          <cell r="BO12">
            <v>29.485709796662455</v>
          </cell>
          <cell r="BP12">
            <v>34.855919375759719</v>
          </cell>
          <cell r="BQ12">
            <v>53.548294521104786</v>
          </cell>
          <cell r="BR12">
            <v>34.12864590427175</v>
          </cell>
          <cell r="BS12">
            <v>62.480233665947495</v>
          </cell>
          <cell r="BT12">
            <v>37.628656036856476</v>
          </cell>
          <cell r="BU12">
            <v>34.611041690804861</v>
          </cell>
          <cell r="BV12">
            <v>54.830363469105464</v>
          </cell>
          <cell r="BW12">
            <v>33.849045434252474</v>
          </cell>
          <cell r="BY12">
            <v>6.52737472698412</v>
          </cell>
          <cell r="BZ12">
            <v>7.7182740944333998</v>
          </cell>
          <cell r="CA12">
            <v>6.9348538242641196</v>
          </cell>
          <cell r="CB12">
            <v>25.930398944444399</v>
          </cell>
          <cell r="CC12">
            <v>28.3702381729622</v>
          </cell>
          <cell r="CD12">
            <v>26.2312321909308</v>
          </cell>
          <cell r="CE12">
            <v>28.039306880952399</v>
          </cell>
          <cell r="CF12">
            <v>32.207210186878697</v>
          </cell>
          <cell r="CG12">
            <v>31.219099994829001</v>
          </cell>
          <cell r="CI12">
            <v>0.24097387819298666</v>
          </cell>
          <cell r="CJ12">
            <v>4.9496484610011215E-2</v>
          </cell>
          <cell r="CK12">
            <v>0.16805656393542234</v>
          </cell>
          <cell r="CL12">
            <v>0.34421068686363654</v>
          </cell>
          <cell r="CM12">
            <v>0.22860862722606945</v>
          </cell>
          <cell r="CN12">
            <v>0.32879458814789575</v>
          </cell>
          <cell r="CO12">
            <v>0.234375793872307</v>
          </cell>
          <cell r="CP12">
            <v>7.4636439790289222E-2</v>
          </cell>
          <cell r="CQ12">
            <v>0.10864956698103678</v>
          </cell>
        </row>
        <row r="13">
          <cell r="B13" t="str">
            <v>INTC</v>
          </cell>
          <cell r="C13" t="str">
            <v>Intel Corporation</v>
          </cell>
          <cell r="D13" t="str">
            <v>Semiconductors</v>
          </cell>
          <cell r="E13">
            <v>4770</v>
          </cell>
          <cell r="F13">
            <v>4531</v>
          </cell>
          <cell r="G13">
            <v>182621.95499999999</v>
          </cell>
          <cell r="H13">
            <v>192254.84</v>
          </cell>
          <cell r="I13">
            <v>30935</v>
          </cell>
          <cell r="J13">
            <v>46553</v>
          </cell>
          <cell r="K13">
            <v>15618</v>
          </cell>
          <cell r="L13">
            <v>198239.95499999999</v>
          </cell>
          <cell r="M13">
            <v>206577.66</v>
          </cell>
          <cell r="O13">
            <v>40.305</v>
          </cell>
          <cell r="P13">
            <v>18.13</v>
          </cell>
          <cell r="Q13">
            <v>43.76</v>
          </cell>
          <cell r="R13">
            <v>0.92104661791590492</v>
          </cell>
          <cell r="S13">
            <v>38.450000000000003</v>
          </cell>
          <cell r="T13">
            <v>24.61</v>
          </cell>
          <cell r="U13">
            <v>20.14</v>
          </cell>
          <cell r="V13">
            <v>4.8244473342002436E-2</v>
          </cell>
          <cell r="W13">
            <v>0.63774888256806173</v>
          </cell>
          <cell r="X13">
            <v>1.0012413108242302</v>
          </cell>
          <cell r="Z13">
            <v>53101</v>
          </cell>
          <cell r="AA13">
            <v>52541.445</v>
          </cell>
          <cell r="AB13">
            <v>53801.754000000001</v>
          </cell>
          <cell r="AC13">
            <v>53729.245999999999</v>
          </cell>
          <cell r="AD13">
            <v>18970.991999999998</v>
          </cell>
          <cell r="AE13">
            <v>20256.705000000002</v>
          </cell>
          <cell r="AF13">
            <v>2507.9639000000002</v>
          </cell>
          <cell r="AG13">
            <v>4506.7466000000004</v>
          </cell>
          <cell r="AH13">
            <v>6671</v>
          </cell>
          <cell r="AI13">
            <v>13229.835999999999</v>
          </cell>
          <cell r="AJ13">
            <v>16505.026999999998</v>
          </cell>
          <cell r="AK13">
            <v>16316.592000000001</v>
          </cell>
          <cell r="AL13">
            <v>17337.900000000001</v>
          </cell>
          <cell r="AM13">
            <v>16385.559000000001</v>
          </cell>
          <cell r="AN13">
            <v>-4108.0640000000021</v>
          </cell>
          <cell r="AO13">
            <v>119.46799999999712</v>
          </cell>
          <cell r="AP13">
            <v>1510.2529999999999</v>
          </cell>
          <cell r="AQ13">
            <v>2986.8782000000001</v>
          </cell>
          <cell r="AR13">
            <v>2901.9216000000001</v>
          </cell>
          <cell r="AS13">
            <v>-1.0537560497919096E-2</v>
          </cell>
          <cell r="AT13">
            <v>2.3986949730826712E-2</v>
          </cell>
          <cell r="AU13">
            <v>0.3610671918140051</v>
          </cell>
          <cell r="AV13">
            <v>0.37650640534879221</v>
          </cell>
          <cell r="AW13">
            <v>4.7733059111716478E-2</v>
          </cell>
          <cell r="AX13">
            <v>8.3765793211871872E-2</v>
          </cell>
          <cell r="AY13">
            <v>0.12562851923692586</v>
          </cell>
          <cell r="AZ13">
            <v>0.25179809957643912</v>
          </cell>
          <cell r="BA13">
            <v>0.30677488693026622</v>
          </cell>
          <cell r="BB13">
            <v>-7.8187114952776846E-2</v>
          </cell>
          <cell r="BC13">
            <v>2.220522401555851E-3</v>
          </cell>
          <cell r="BD13">
            <v>2.8744032449050459E-2</v>
          </cell>
          <cell r="BE13">
            <v>5.551637219857182E-2</v>
          </cell>
          <cell r="BF13">
            <v>-2.1367805356681799E-2</v>
          </cell>
          <cell r="BG13">
            <v>6.2140438180904639E-4</v>
          </cell>
          <cell r="BI13">
            <v>3.8447898561613911</v>
          </cell>
          <cell r="BJ13">
            <v>3.9317087681924243</v>
          </cell>
          <cell r="BK13">
            <v>3.8396082774550435</v>
          </cell>
          <cell r="BL13">
            <v>10.889133261982295</v>
          </cell>
          <cell r="BM13">
            <v>10.197989258371488</v>
          </cell>
          <cell r="BN13">
            <v>82.368673647973949</v>
          </cell>
          <cell r="BO13">
            <v>45.837425161645427</v>
          </cell>
          <cell r="BP13">
            <v>12.660588681754131</v>
          </cell>
          <cell r="BQ13">
            <v>15.614529159696312</v>
          </cell>
          <cell r="BR13">
            <v>12.516044960120333</v>
          </cell>
          <cell r="BS13" t="str">
            <v>--</v>
          </cell>
          <cell r="BT13" t="str">
            <v>--</v>
          </cell>
          <cell r="BU13">
            <v>66.250873214493453</v>
          </cell>
          <cell r="BV13" t="str">
            <v>--</v>
          </cell>
          <cell r="BW13">
            <v>64.366481365058675</v>
          </cell>
          <cell r="BY13">
            <v>2.6995418047619002</v>
          </cell>
          <cell r="BZ13">
            <v>2.8055115906560602</v>
          </cell>
          <cell r="CA13">
            <v>2.83628192856006</v>
          </cell>
          <cell r="CB13">
            <v>9.3991993694444407</v>
          </cell>
          <cell r="CC13">
            <v>9.6769147415507</v>
          </cell>
          <cell r="CD13">
            <v>8.7127034856006293</v>
          </cell>
          <cell r="CE13">
            <v>43.585360523809598</v>
          </cell>
          <cell r="CF13">
            <v>34.090006071570599</v>
          </cell>
          <cell r="CG13">
            <v>24.4767722549722</v>
          </cell>
          <cell r="CI13">
            <v>0.42423793896405382</v>
          </cell>
          <cell r="CJ13">
            <v>0.37044162247153611</v>
          </cell>
          <cell r="CK13">
            <v>0.35557393552669003</v>
          </cell>
          <cell r="CL13">
            <v>0.34698586380793639</v>
          </cell>
          <cell r="CM13">
            <v>0.30832905113777054</v>
          </cell>
          <cell r="CN13">
            <v>0.45311827754475065</v>
          </cell>
          <cell r="CO13">
            <v>0.52002581642756507</v>
          </cell>
          <cell r="CP13">
            <v>0.94341042578292322</v>
          </cell>
          <cell r="CQ13">
            <v>1.7066834027119437</v>
          </cell>
        </row>
        <row r="14">
          <cell r="B14" t="str">
            <v>QCOM</v>
          </cell>
          <cell r="C14" t="str">
            <v>QUALCOMM Incorporated</v>
          </cell>
          <cell r="D14" t="str">
            <v>Semiconductors</v>
          </cell>
          <cell r="E14">
            <v>1071</v>
          </cell>
          <cell r="F14">
            <v>1078</v>
          </cell>
          <cell r="G14">
            <v>193360.86000000002</v>
          </cell>
          <cell r="H14">
            <v>192105.27</v>
          </cell>
          <cell r="I14">
            <v>12478</v>
          </cell>
          <cell r="J14">
            <v>15643</v>
          </cell>
          <cell r="K14">
            <v>3165</v>
          </cell>
          <cell r="L14">
            <v>196525.86000000002</v>
          </cell>
          <cell r="M14">
            <v>201791.84400000001</v>
          </cell>
          <cell r="O14">
            <v>179.37</v>
          </cell>
          <cell r="P14">
            <v>124.66</v>
          </cell>
          <cell r="Q14">
            <v>187.68</v>
          </cell>
          <cell r="R14">
            <v>0.95572250639386191</v>
          </cell>
          <cell r="S14">
            <v>171.57</v>
          </cell>
          <cell r="T14">
            <v>161.51</v>
          </cell>
          <cell r="U14">
            <v>154.72</v>
          </cell>
          <cell r="V14">
            <v>4.5462493442909757E-2</v>
          </cell>
          <cell r="W14">
            <v>0.11058138814934071</v>
          </cell>
          <cell r="X14">
            <v>0.15932006204756988</v>
          </cell>
          <cell r="Z14">
            <v>40695</v>
          </cell>
          <cell r="AA14">
            <v>43920.207000000002</v>
          </cell>
          <cell r="AB14">
            <v>45763.605000000003</v>
          </cell>
          <cell r="AC14">
            <v>45719.343999999997</v>
          </cell>
          <cell r="AD14">
            <v>24528.129000000001</v>
          </cell>
          <cell r="AE14">
            <v>25526.384999999998</v>
          </cell>
          <cell r="AF14">
            <v>15205.522999999999</v>
          </cell>
          <cell r="AG14">
            <v>15279.625</v>
          </cell>
          <cell r="AH14">
            <v>12609</v>
          </cell>
          <cell r="AI14">
            <v>16845.136999999999</v>
          </cell>
          <cell r="AJ14">
            <v>16669.107</v>
          </cell>
          <cell r="AK14">
            <v>16674.96</v>
          </cell>
          <cell r="AL14">
            <v>1251.1597999999999</v>
          </cell>
          <cell r="AM14">
            <v>1567.0697</v>
          </cell>
          <cell r="AN14">
            <v>15593.977199999999</v>
          </cell>
          <cell r="AO14">
            <v>15102.0373</v>
          </cell>
          <cell r="AP14">
            <v>13177.722</v>
          </cell>
          <cell r="AQ14">
            <v>13241.736999999999</v>
          </cell>
          <cell r="AR14">
            <v>13201.55</v>
          </cell>
          <cell r="AS14">
            <v>7.9253151492812535E-2</v>
          </cell>
          <cell r="AT14">
            <v>4.1971523494868768E-2</v>
          </cell>
          <cell r="AU14">
            <v>0.55847025037928444</v>
          </cell>
          <cell r="AV14">
            <v>0.55778789717287347</v>
          </cell>
          <cell r="AW14">
            <v>0.34620790835525883</v>
          </cell>
          <cell r="AX14">
            <v>0.33388158559623959</v>
          </cell>
          <cell r="AY14">
            <v>0.30984150387025433</v>
          </cell>
          <cell r="AZ14">
            <v>0.38353956300797942</v>
          </cell>
          <cell r="BA14">
            <v>0.36424374784285457</v>
          </cell>
          <cell r="BB14">
            <v>0.35505245228010873</v>
          </cell>
          <cell r="BC14">
            <v>0.33000104122041957</v>
          </cell>
          <cell r="BD14">
            <v>0.3000377935377217</v>
          </cell>
          <cell r="BE14">
            <v>0.28935082802152495</v>
          </cell>
          <cell r="BF14">
            <v>8.1174124999277744E-2</v>
          </cell>
          <cell r="BG14">
            <v>7.8613342049387816E-2</v>
          </cell>
          <cell r="BI14">
            <v>4.4137082106864884</v>
          </cell>
          <cell r="BJ14">
            <v>4.5945103127587723</v>
          </cell>
          <cell r="BK14">
            <v>4.409439422440605</v>
          </cell>
          <cell r="BL14">
            <v>8.2269562427692708</v>
          </cell>
          <cell r="BM14">
            <v>7.9052260631499536</v>
          </cell>
          <cell r="BN14">
            <v>13.270957138402936</v>
          </cell>
          <cell r="BO14">
            <v>13.206596627862268</v>
          </cell>
          <cell r="BP14">
            <v>12.101488939103904</v>
          </cell>
          <cell r="BQ14">
            <v>11.979234363009338</v>
          </cell>
          <cell r="BR14">
            <v>12.105738117824789</v>
          </cell>
          <cell r="BS14">
            <v>12.940370593846964</v>
          </cell>
          <cell r="BT14">
            <v>13.361895484127828</v>
          </cell>
          <cell r="BU14">
            <v>14.55172082066121</v>
          </cell>
          <cell r="BV14">
            <v>14.578033289820501</v>
          </cell>
          <cell r="BW14">
            <v>14.507558185153504</v>
          </cell>
          <cell r="BY14">
            <v>4.0303067043650804</v>
          </cell>
          <cell r="BZ14">
            <v>4.39810519761431</v>
          </cell>
          <cell r="CA14">
            <v>4.2306028444709698</v>
          </cell>
          <cell r="CB14">
            <v>10.8910253234127</v>
          </cell>
          <cell r="CC14">
            <v>12.0286635119284</v>
          </cell>
          <cell r="CD14">
            <v>11.3193797469372</v>
          </cell>
          <cell r="CE14">
            <v>13.265681908730199</v>
          </cell>
          <cell r="CF14">
            <v>14.5695858190855</v>
          </cell>
          <cell r="CG14">
            <v>14.018815215990401</v>
          </cell>
          <cell r="CI14">
            <v>9.5129610336146309E-2</v>
          </cell>
          <cell r="CJ14">
            <v>3.5476670909651009E-3</v>
          </cell>
          <cell r="CK14">
            <v>4.3281152343293439E-2</v>
          </cell>
          <cell r="CL14">
            <v>0.11114321927881665</v>
          </cell>
          <cell r="CM14">
            <v>6.0543240820798427E-3</v>
          </cell>
          <cell r="CN14">
            <v>6.9094703919472922E-2</v>
          </cell>
          <cell r="CO14">
            <v>9.6944802444317801E-2</v>
          </cell>
          <cell r="CP14">
            <v>-1.2261843710675846E-3</v>
          </cell>
          <cell r="CQ14">
            <v>3.8013597901123353E-2</v>
          </cell>
        </row>
        <row r="15">
          <cell r="B15" t="str">
            <v>AVGO</v>
          </cell>
          <cell r="C15" t="str">
            <v>Broadcom Inc.</v>
          </cell>
          <cell r="D15" t="str">
            <v>Semiconductors</v>
          </cell>
          <cell r="E15">
            <v>4722.3649999999998</v>
          </cell>
          <cell r="F15">
            <v>4860</v>
          </cell>
          <cell r="G15">
            <v>1973545.8840000001</v>
          </cell>
          <cell r="H15">
            <v>1897967.8</v>
          </cell>
          <cell r="I15">
            <v>10718</v>
          </cell>
          <cell r="J15">
            <v>64229</v>
          </cell>
          <cell r="K15">
            <v>53511</v>
          </cell>
          <cell r="L15">
            <v>2027056.8840000001</v>
          </cell>
          <cell r="M15">
            <v>2008154.4</v>
          </cell>
          <cell r="O15">
            <v>406.07940000000002</v>
          </cell>
          <cell r="P15">
            <v>146.29</v>
          </cell>
          <cell r="Q15">
            <v>406.29</v>
          </cell>
          <cell r="R15">
            <v>0.99948165103743636</v>
          </cell>
          <cell r="S15">
            <v>358.39</v>
          </cell>
          <cell r="T15">
            <v>359.63</v>
          </cell>
          <cell r="U15">
            <v>248.7</v>
          </cell>
          <cell r="V15">
            <v>0.13306565473367016</v>
          </cell>
          <cell r="W15">
            <v>0.12915885771487368</v>
          </cell>
          <cell r="X15">
            <v>0.6328082026538</v>
          </cell>
          <cell r="Z15">
            <v>53544</v>
          </cell>
          <cell r="AA15">
            <v>67229.66</v>
          </cell>
          <cell r="AB15">
            <v>92591.16</v>
          </cell>
          <cell r="AC15">
            <v>90916.61</v>
          </cell>
          <cell r="AD15">
            <v>52392.563000000002</v>
          </cell>
          <cell r="AE15">
            <v>68941.83</v>
          </cell>
          <cell r="AF15">
            <v>44092.167999999998</v>
          </cell>
          <cell r="AG15">
            <v>60535.79</v>
          </cell>
          <cell r="AH15">
            <v>27580</v>
          </cell>
          <cell r="AI15">
            <v>44767.574000000001</v>
          </cell>
          <cell r="AJ15">
            <v>61019.133000000002</v>
          </cell>
          <cell r="AK15">
            <v>60098.656000000003</v>
          </cell>
          <cell r="AL15">
            <v>567.68780000000004</v>
          </cell>
          <cell r="AM15">
            <v>694.05359999999996</v>
          </cell>
          <cell r="AN15">
            <v>44199.886200000001</v>
          </cell>
          <cell r="AO15">
            <v>60325.079400000002</v>
          </cell>
          <cell r="AP15">
            <v>35485.792999999998</v>
          </cell>
          <cell r="AQ15">
            <v>49592.57</v>
          </cell>
          <cell r="AR15">
            <v>48655.31</v>
          </cell>
          <cell r="AS15">
            <v>0.25559651875093392</v>
          </cell>
          <cell r="AT15">
            <v>0.377236773174221</v>
          </cell>
          <cell r="AU15">
            <v>0.77930727301015656</v>
          </cell>
          <cell r="AV15">
            <v>0.74458328419257302</v>
          </cell>
          <cell r="AW15">
            <v>0.65584398314672421</v>
          </cell>
          <cell r="AX15">
            <v>0.65379664754173072</v>
          </cell>
          <cell r="AY15">
            <v>0.51509039294785597</v>
          </cell>
          <cell r="AZ15">
            <v>0.66589023356655375</v>
          </cell>
          <cell r="BA15">
            <v>0.6590168327084357</v>
          </cell>
          <cell r="BB15">
            <v>0.65744622537136133</v>
          </cell>
          <cell r="BC15">
            <v>0.65152093785195042</v>
          </cell>
          <cell r="BD15">
            <v>0.52782942826127632</v>
          </cell>
          <cell r="BE15">
            <v>0.53560804292764019</v>
          </cell>
          <cell r="BF15">
            <v>2.3288006361330261E-2</v>
          </cell>
          <cell r="BG15">
            <v>3.1784037326660651E-2</v>
          </cell>
          <cell r="BI15">
            <v>22.087871512147228</v>
          </cell>
          <cell r="BJ15">
            <v>29.870066277294871</v>
          </cell>
          <cell r="BK15">
            <v>21.688403082972499</v>
          </cell>
          <cell r="BL15">
            <v>38.328997189925595</v>
          </cell>
          <cell r="BM15">
            <v>29.128243332096055</v>
          </cell>
          <cell r="BN15">
            <v>45.544469484920768</v>
          </cell>
          <cell r="BO15">
            <v>33.173010544671172</v>
          </cell>
          <cell r="BP15">
            <v>33.414297983635436</v>
          </cell>
          <cell r="BQ15">
            <v>44.857342504197341</v>
          </cell>
          <cell r="BR15">
            <v>32.910241448366691</v>
          </cell>
          <cell r="BS15">
            <v>45.433474441841433</v>
          </cell>
          <cell r="BT15">
            <v>33.28888117468437</v>
          </cell>
          <cell r="BU15">
            <v>39.008441216385222</v>
          </cell>
          <cell r="BV15">
            <v>53.485286351075771</v>
          </cell>
          <cell r="BW15">
            <v>38.271212804660053</v>
          </cell>
          <cell r="BY15">
            <v>18.337108857142901</v>
          </cell>
          <cell r="BZ15">
            <v>15.7549975228628</v>
          </cell>
          <cell r="CA15">
            <v>11.4338640988862</v>
          </cell>
          <cell r="CB15">
            <v>27.475005920634899</v>
          </cell>
          <cell r="CC15">
            <v>24.303507815109299</v>
          </cell>
          <cell r="CD15">
            <v>18.0574920027844</v>
          </cell>
          <cell r="CE15">
            <v>34.0228338492063</v>
          </cell>
          <cell r="CF15">
            <v>30.215838825049701</v>
          </cell>
          <cell r="CG15">
            <v>21.745774337708799</v>
          </cell>
          <cell r="CI15">
            <v>0.20454493040451593</v>
          </cell>
          <cell r="CJ15">
            <v>0.40195969438233825</v>
          </cell>
          <cell r="CK15">
            <v>0.93179412673785933</v>
          </cell>
          <cell r="CL15">
            <v>0.21617072914040292</v>
          </cell>
          <cell r="CM15">
            <v>0.3748755215846673</v>
          </cell>
          <cell r="CN15">
            <v>0.85043958366328343</v>
          </cell>
          <cell r="CO15">
            <v>0.14653709885766109</v>
          </cell>
          <cell r="CP15">
            <v>0.29099315899336298</v>
          </cell>
          <cell r="CQ15">
            <v>0.79384006338839219</v>
          </cell>
        </row>
        <row r="16">
          <cell r="B16" t="str">
            <v>TI</v>
          </cell>
          <cell r="C16" t="str">
            <v>Telecom Italia S.p.A. Sponsored ADR</v>
          </cell>
          <cell r="D16" t="str">
            <v>Wireless Telecommunications</v>
          </cell>
          <cell r="E16">
            <v>1532.9467</v>
          </cell>
          <cell r="F16">
            <v>2126.0819197999999</v>
          </cell>
          <cell r="G16">
            <v>12129.297352459</v>
          </cell>
          <cell r="H16">
            <v>8690.4590000000007</v>
          </cell>
          <cell r="I16">
            <v>2076.2249999999999</v>
          </cell>
          <cell r="J16">
            <v>17207.875</v>
          </cell>
          <cell r="K16">
            <v>15131.65</v>
          </cell>
          <cell r="L16">
            <v>27260.947352458999</v>
          </cell>
          <cell r="M16">
            <v>28772.4710113908</v>
          </cell>
          <cell r="O16">
            <v>5.7050000000000001</v>
          </cell>
          <cell r="P16">
            <v>2.5019999999999998</v>
          </cell>
          <cell r="Q16">
            <v>6.0529999999999999</v>
          </cell>
          <cell r="R16">
            <v>0.9425078473484223</v>
          </cell>
          <cell r="S16">
            <v>5.6820000000000004</v>
          </cell>
          <cell r="T16">
            <v>5.1870000000000003</v>
          </cell>
          <cell r="U16">
            <v>4.3289999999999997</v>
          </cell>
          <cell r="V16">
            <v>4.0478704681450317E-3</v>
          </cell>
          <cell r="W16">
            <v>9.986504723346834E-2</v>
          </cell>
          <cell r="X16">
            <v>0.31785631785631785</v>
          </cell>
          <cell r="Z16">
            <v>15621.7779028153</v>
          </cell>
          <cell r="AA16">
            <v>15929.217000000001</v>
          </cell>
          <cell r="AB16">
            <v>16432.150000000001</v>
          </cell>
          <cell r="AC16">
            <v>16403.215</v>
          </cell>
          <cell r="AD16">
            <v>8412.8700000000008</v>
          </cell>
          <cell r="AE16">
            <v>8608.5720000000001</v>
          </cell>
          <cell r="AF16">
            <v>1512.8451</v>
          </cell>
          <cell r="AG16">
            <v>2003.1559</v>
          </cell>
          <cell r="AH16">
            <v>5045.0056800000002</v>
          </cell>
          <cell r="AI16">
            <v>4954.1279999999997</v>
          </cell>
          <cell r="AJ16">
            <v>5364.643</v>
          </cell>
          <cell r="AK16">
            <v>5341.0244000000002</v>
          </cell>
          <cell r="AL16">
            <v>2244.1545000000001</v>
          </cell>
          <cell r="AM16">
            <v>2219.3523</v>
          </cell>
          <cell r="AN16">
            <v>2709.9734999999996</v>
          </cell>
          <cell r="AO16">
            <v>3145.2907</v>
          </cell>
          <cell r="AP16">
            <v>81.614943999999994</v>
          </cell>
          <cell r="AQ16">
            <v>468.57006999999999</v>
          </cell>
          <cell r="AR16">
            <v>446.30689999999998</v>
          </cell>
          <cell r="AS16">
            <v>1.9680160548774417E-2</v>
          </cell>
          <cell r="AT16">
            <v>3.1572989431935206E-2</v>
          </cell>
          <cell r="AU16">
            <v>0.52814083705432602</v>
          </cell>
          <cell r="AV16">
            <v>0.52388591876291291</v>
          </cell>
          <cell r="AW16">
            <v>9.49729732478376E-2</v>
          </cell>
          <cell r="AX16">
            <v>0.12190467467738549</v>
          </cell>
          <cell r="AY16">
            <v>0.32294695977535359</v>
          </cell>
          <cell r="AZ16">
            <v>0.31100888386415976</v>
          </cell>
          <cell r="BA16">
            <v>0.32647237275706464</v>
          </cell>
          <cell r="BB16">
            <v>0.17012597041022165</v>
          </cell>
          <cell r="BC16">
            <v>0.19141078312941398</v>
          </cell>
          <cell r="BD16">
            <v>5.1236004883353642E-3</v>
          </cell>
          <cell r="BE16">
            <v>2.8515445026974555E-2</v>
          </cell>
          <cell r="BF16">
            <v>0.31183318395495557</v>
          </cell>
          <cell r="BG16">
            <v>0.36192457728642408</v>
          </cell>
          <cell r="BI16">
            <v>1.7540751012158775</v>
          </cell>
          <cell r="BJ16">
            <v>1.8062702649722708</v>
          </cell>
          <cell r="BK16">
            <v>1.7509863901796658</v>
          </cell>
          <cell r="BL16">
            <v>3.4200541564758278</v>
          </cell>
          <cell r="BM16">
            <v>3.3423047412963265</v>
          </cell>
          <cell r="BN16">
            <v>19.018781903970737</v>
          </cell>
          <cell r="BO16">
            <v>14.363570509609762</v>
          </cell>
          <cell r="BP16">
            <v>5.3870697560173664</v>
          </cell>
          <cell r="BQ16">
            <v>5.8077770722498094</v>
          </cell>
          <cell r="BR16">
            <v>5.3633524190502149</v>
          </cell>
          <cell r="BS16">
            <v>10.617251796517865</v>
          </cell>
          <cell r="BT16">
            <v>9.1477938784452579</v>
          </cell>
          <cell r="BU16">
            <v>19.471935119085099</v>
          </cell>
          <cell r="BV16" t="str">
            <v>--</v>
          </cell>
          <cell r="BW16">
            <v>18.546765054797461</v>
          </cell>
          <cell r="BY16">
            <v>1.4968211190476199</v>
          </cell>
          <cell r="BZ16">
            <v>1.7677110262425499</v>
          </cell>
          <cell r="CA16">
            <v>2.0952907342084299</v>
          </cell>
          <cell r="CB16">
            <v>4.7309744376984098</v>
          </cell>
          <cell r="CC16">
            <v>5.1622254500994096</v>
          </cell>
          <cell r="CD16">
            <v>5.6242547864757402</v>
          </cell>
          <cell r="CE16">
            <v>45.328173809523797</v>
          </cell>
          <cell r="CF16">
            <v>50.019382076923101</v>
          </cell>
          <cell r="CG16">
            <v>209.171015507692</v>
          </cell>
          <cell r="CI16">
            <v>0.17186688435552022</v>
          </cell>
          <cell r="CJ16">
            <v>-7.7138880870460946E-3</v>
          </cell>
          <cell r="CK16">
            <v>-0.16284882447182614</v>
          </cell>
          <cell r="CL16">
            <v>0.13868079968703939</v>
          </cell>
          <cell r="CM16">
            <v>4.3555692809508439E-2</v>
          </cell>
          <cell r="CN16">
            <v>-4.2171814660444729E-2</v>
          </cell>
          <cell r="CO16">
            <v>-0.5704231279885823</v>
          </cell>
          <cell r="CP16">
            <v>-0.61071220173932028</v>
          </cell>
          <cell r="CQ16">
            <v>-0.90690901857590756</v>
          </cell>
        </row>
        <row r="17">
          <cell r="B17" t="str">
            <v>MU</v>
          </cell>
          <cell r="C17" t="str">
            <v>Micron Technology, Inc.</v>
          </cell>
          <cell r="D17" t="str">
            <v>Semiconductors</v>
          </cell>
          <cell r="E17">
            <v>1125.3497</v>
          </cell>
          <cell r="F17">
            <v>1131</v>
          </cell>
          <cell r="G17">
            <v>292026.91440000001</v>
          </cell>
          <cell r="H17">
            <v>290568.06</v>
          </cell>
          <cell r="I17">
            <v>10311</v>
          </cell>
          <cell r="J17">
            <v>15352</v>
          </cell>
          <cell r="K17">
            <v>5041</v>
          </cell>
          <cell r="L17">
            <v>297067.91440000001</v>
          </cell>
          <cell r="M17">
            <v>293828.5</v>
          </cell>
          <cell r="O17">
            <v>258.20240000000001</v>
          </cell>
          <cell r="P17">
            <v>64.72</v>
          </cell>
          <cell r="Q17">
            <v>258.20240000000001</v>
          </cell>
          <cell r="R17">
            <v>1</v>
          </cell>
          <cell r="S17">
            <v>253.3</v>
          </cell>
          <cell r="T17">
            <v>150.57</v>
          </cell>
          <cell r="U17">
            <v>115.6</v>
          </cell>
          <cell r="V17">
            <v>1.9354125542834666E-2</v>
          </cell>
          <cell r="W17">
            <v>0.71483296805472563</v>
          </cell>
          <cell r="X17">
            <v>1.2335847750865052</v>
          </cell>
          <cell r="Z17">
            <v>29837</v>
          </cell>
          <cell r="AA17">
            <v>41112.574000000001</v>
          </cell>
          <cell r="AB17">
            <v>60286.42</v>
          </cell>
          <cell r="AC17">
            <v>59700.457000000002</v>
          </cell>
          <cell r="AD17">
            <v>17589.2</v>
          </cell>
          <cell r="AE17">
            <v>30519.535</v>
          </cell>
          <cell r="AF17">
            <v>12889.548000000001</v>
          </cell>
          <cell r="AG17">
            <v>26733.092000000001</v>
          </cell>
          <cell r="AH17">
            <v>12971.333339999999</v>
          </cell>
          <cell r="AI17">
            <v>21138.151999999998</v>
          </cell>
          <cell r="AJ17">
            <v>38598.222999999998</v>
          </cell>
          <cell r="AK17">
            <v>38141.313000000002</v>
          </cell>
          <cell r="AL17">
            <v>14709.097</v>
          </cell>
          <cell r="AM17">
            <v>19984.011999999999</v>
          </cell>
          <cell r="AN17">
            <v>6429.0549999999985</v>
          </cell>
          <cell r="AO17">
            <v>18614.210999999999</v>
          </cell>
          <cell r="AP17">
            <v>10981.707</v>
          </cell>
          <cell r="AQ17">
            <v>22328.937999999998</v>
          </cell>
          <cell r="AR17">
            <v>22074.66</v>
          </cell>
          <cell r="AS17">
            <v>0.37790575459999332</v>
          </cell>
          <cell r="AT17">
            <v>0.46637425328805726</v>
          </cell>
          <cell r="AU17">
            <v>0.4278301815887276</v>
          </cell>
          <cell r="AV17">
            <v>0.50624228474671407</v>
          </cell>
          <cell r="AW17">
            <v>0.31351838977535196</v>
          </cell>
          <cell r="AX17">
            <v>0.4434347237736127</v>
          </cell>
          <cell r="AY17">
            <v>0.43473986459764719</v>
          </cell>
          <cell r="AZ17">
            <v>0.51415296935677146</v>
          </cell>
          <cell r="BA17">
            <v>0.64024738904715195</v>
          </cell>
          <cell r="BB17">
            <v>0.15637685443874175</v>
          </cell>
          <cell r="BC17">
            <v>0.30876291874687534</v>
          </cell>
          <cell r="BD17">
            <v>0.26711309780798448</v>
          </cell>
          <cell r="BE17">
            <v>0.37038089174975058</v>
          </cell>
          <cell r="BF17">
            <v>2.2125814516571432E-2</v>
          </cell>
          <cell r="BG17">
            <v>6.4061449148953259E-2</v>
          </cell>
          <cell r="BI17">
            <v>4.9217127433379613</v>
          </cell>
          <cell r="BJ17">
            <v>7.1469254150810402</v>
          </cell>
          <cell r="BK17">
            <v>4.8738754100840618</v>
          </cell>
          <cell r="BL17">
            <v>16.705051963704999</v>
          </cell>
          <cell r="BM17">
            <v>9.6275549414497963</v>
          </cell>
          <cell r="BN17">
            <v>22.795873059319067</v>
          </cell>
          <cell r="BO17">
            <v>10.991190244660064</v>
          </cell>
          <cell r="BP17">
            <v>7.7036807830920759</v>
          </cell>
          <cell r="BQ17">
            <v>13.90038731862653</v>
          </cell>
          <cell r="BR17">
            <v>7.6124877562368614</v>
          </cell>
          <cell r="BS17">
            <v>45.703217657960629</v>
          </cell>
          <cell r="BT17">
            <v>15.785170803103071</v>
          </cell>
          <cell r="BU17">
            <v>13.162968761466768</v>
          </cell>
          <cell r="BV17">
            <v>26.459279964398977</v>
          </cell>
          <cell r="BW17">
            <v>13.013071199355743</v>
          </cell>
          <cell r="BY17">
            <v>3.1997857226190498</v>
          </cell>
          <cell r="BZ17">
            <v>3.46151206282306</v>
          </cell>
          <cell r="CA17">
            <v>3.1513297841686501</v>
          </cell>
          <cell r="CB17">
            <v>5.8805030849206297</v>
          </cell>
          <cell r="CC17">
            <v>6.8329380236580501</v>
          </cell>
          <cell r="CD17">
            <v>6.8216990217979303</v>
          </cell>
          <cell r="CE17">
            <v>10.5515281960317</v>
          </cell>
          <cell r="CF17">
            <v>17.215658520676001</v>
          </cell>
          <cell r="CG17">
            <v>18.562329022146301</v>
          </cell>
          <cell r="CI17">
            <v>0.53813822861535265</v>
          </cell>
          <cell r="CJ17">
            <v>0.42183896921740738</v>
          </cell>
          <cell r="CK17">
            <v>0.56178917486300306</v>
          </cell>
          <cell r="CL17">
            <v>0.31003770797206442</v>
          </cell>
          <cell r="CM17">
            <v>0.12743314170554543</v>
          </cell>
          <cell r="CN17">
            <v>0.12929062957422732</v>
          </cell>
          <cell r="CO17">
            <v>0.24749406123154727</v>
          </cell>
          <cell r="CP17">
            <v>-0.23540718784250714</v>
          </cell>
          <cell r="CQ17">
            <v>-0.29087730608792017</v>
          </cell>
        </row>
        <row r="18">
          <cell r="B18" t="str">
            <v>AAPL</v>
          </cell>
          <cell r="C18" t="str">
            <v>Apple Inc.</v>
          </cell>
          <cell r="D18" t="str">
            <v>Telecommunications Equipment</v>
          </cell>
          <cell r="E18">
            <v>14776.352999999999</v>
          </cell>
          <cell r="F18">
            <v>14863.609</v>
          </cell>
          <cell r="G18">
            <v>4141224.4215350002</v>
          </cell>
          <cell r="H18">
            <v>4112122.8</v>
          </cell>
          <cell r="I18">
            <v>54697</v>
          </cell>
          <cell r="J18">
            <v>112377</v>
          </cell>
          <cell r="K18">
            <v>57680</v>
          </cell>
          <cell r="L18">
            <v>4198904.4215350002</v>
          </cell>
          <cell r="M18">
            <v>4232886.9872199995</v>
          </cell>
          <cell r="O18">
            <v>278.61500000000001</v>
          </cell>
          <cell r="P18">
            <v>172.42</v>
          </cell>
          <cell r="Q18">
            <v>286.19</v>
          </cell>
          <cell r="R18">
            <v>0.9735315699360565</v>
          </cell>
          <cell r="S18">
            <v>269.43</v>
          </cell>
          <cell r="T18">
            <v>230.03</v>
          </cell>
          <cell r="U18">
            <v>196.45</v>
          </cell>
          <cell r="V18">
            <v>3.4090487325093788E-2</v>
          </cell>
          <cell r="W18">
            <v>0.21121158109811766</v>
          </cell>
          <cell r="X18">
            <v>0.41824891829982191</v>
          </cell>
          <cell r="Z18">
            <v>395760</v>
          </cell>
          <cell r="AA18">
            <v>421044.84</v>
          </cell>
          <cell r="AB18">
            <v>458608.2</v>
          </cell>
          <cell r="AC18">
            <v>456817.38</v>
          </cell>
          <cell r="AD18">
            <v>197674.81</v>
          </cell>
          <cell r="AE18">
            <v>217870.73</v>
          </cell>
          <cell r="AF18">
            <v>134041.70000000001</v>
          </cell>
          <cell r="AG18">
            <v>147653.51999999999</v>
          </cell>
          <cell r="AH18">
            <v>137352</v>
          </cell>
          <cell r="AI18">
            <v>145708.20000000001</v>
          </cell>
          <cell r="AJ18">
            <v>159365.85999999999</v>
          </cell>
          <cell r="AK18">
            <v>158549.94</v>
          </cell>
          <cell r="AL18">
            <v>12641.493</v>
          </cell>
          <cell r="AM18">
            <v>14407.304</v>
          </cell>
          <cell r="AN18">
            <v>133066.70700000002</v>
          </cell>
          <cell r="AO18">
            <v>144958.55599999998</v>
          </cell>
          <cell r="AP18">
            <v>112114.35</v>
          </cell>
          <cell r="AQ18">
            <v>122867.97</v>
          </cell>
          <cell r="AR18">
            <v>122250.63</v>
          </cell>
          <cell r="AS18">
            <v>6.3889326864766671E-2</v>
          </cell>
          <cell r="AT18">
            <v>8.9214630916744975E-2</v>
          </cell>
          <cell r="AU18">
            <v>0.4694863615951213</v>
          </cell>
          <cell r="AV18">
            <v>0.47506941655208085</v>
          </cell>
          <cell r="AW18">
            <v>0.31835492865795484</v>
          </cell>
          <cell r="AX18">
            <v>0.32196005217525547</v>
          </cell>
          <cell r="AY18">
            <v>0.34705882352941175</v>
          </cell>
          <cell r="AZ18">
            <v>0.34606337890282662</v>
          </cell>
          <cell r="BA18">
            <v>0.3474989326401054</v>
          </cell>
          <cell r="BB18">
            <v>0.31603927743182891</v>
          </cell>
          <cell r="BC18">
            <v>0.31608365484960799</v>
          </cell>
          <cell r="BD18">
            <v>0.26627650869679342</v>
          </cell>
          <cell r="BE18">
            <v>0.26791489990802608</v>
          </cell>
          <cell r="BF18">
            <v>3.2359614114636857E-2</v>
          </cell>
          <cell r="BG18">
            <v>3.5251514375981181E-2</v>
          </cell>
          <cell r="BI18">
            <v>9.2660375295265673</v>
          </cell>
          <cell r="BJ18">
            <v>10.053292630827631</v>
          </cell>
          <cell r="BK18">
            <v>9.2298545626092157</v>
          </cell>
          <cell r="BL18">
            <v>21.413385889785349</v>
          </cell>
          <cell r="BM18">
            <v>19.428433489987384</v>
          </cell>
          <cell r="BN18">
            <v>31.578881700396213</v>
          </cell>
          <cell r="BO18">
            <v>28.667701164320363</v>
          </cell>
          <cell r="BP18">
            <v>26.697499773383701</v>
          </cell>
          <cell r="BQ18">
            <v>29.050437705084541</v>
          </cell>
          <cell r="BR18">
            <v>26.560814136854656</v>
          </cell>
          <cell r="BS18">
            <v>31.810263308161662</v>
          </cell>
          <cell r="BT18">
            <v>29.200670205489629</v>
          </cell>
          <cell r="BU18">
            <v>33.636822975881593</v>
          </cell>
          <cell r="BV18">
            <v>36.677934626566532</v>
          </cell>
          <cell r="BW18">
            <v>33.467817528034359</v>
          </cell>
          <cell r="BY18">
            <v>8.1965922257936494</v>
          </cell>
          <cell r="BZ18">
            <v>7.9982662846918497</v>
          </cell>
          <cell r="CA18">
            <v>7.19498584057279</v>
          </cell>
          <cell r="CB18">
            <v>23.7657008095238</v>
          </cell>
          <cell r="CC18">
            <v>23.333165429423399</v>
          </cell>
          <cell r="CD18">
            <v>21.886477597454299</v>
          </cell>
          <cell r="CE18">
            <v>29.590917464285699</v>
          </cell>
          <cell r="CF18">
            <v>29.138717687872798</v>
          </cell>
          <cell r="CG18">
            <v>27.345491717581599</v>
          </cell>
          <cell r="CI18">
            <v>0.13047438182510862</v>
          </cell>
          <cell r="CJ18">
            <v>0.15850575608630924</v>
          </cell>
          <cell r="CK18">
            <v>0.28784652740732874</v>
          </cell>
          <cell r="CL18">
            <v>0.1233626135142214</v>
          </cell>
          <cell r="CM18">
            <v>0.14418679514944155</v>
          </cell>
          <cell r="CN18">
            <v>0.21981710645339247</v>
          </cell>
          <cell r="CO18">
            <v>0.13672795094910573</v>
          </cell>
          <cell r="CP18">
            <v>0.15436867662439568</v>
          </cell>
          <cell r="CQ18">
            <v>0.23006831704748709</v>
          </cell>
        </row>
        <row r="19">
          <cell r="B19" t="str">
            <v>AMZN</v>
          </cell>
          <cell r="C19" t="str">
            <v>Amazon.com, Inc.</v>
          </cell>
          <cell r="D19" t="str">
            <v>Internet Retail</v>
          </cell>
          <cell r="E19">
            <v>10690.216</v>
          </cell>
          <cell r="F19">
            <v>10845</v>
          </cell>
          <cell r="G19">
            <v>2507526.6749999998</v>
          </cell>
          <cell r="H19">
            <v>2473178</v>
          </cell>
          <cell r="I19">
            <v>97739</v>
          </cell>
          <cell r="J19">
            <v>152737</v>
          </cell>
          <cell r="K19">
            <v>54998</v>
          </cell>
          <cell r="L19">
            <v>2562524.6749999998</v>
          </cell>
          <cell r="M19">
            <v>2566428.875</v>
          </cell>
          <cell r="O19">
            <v>231.215</v>
          </cell>
          <cell r="P19">
            <v>167.32</v>
          </cell>
          <cell r="Q19">
            <v>254</v>
          </cell>
          <cell r="R19">
            <v>0.91029527559055123</v>
          </cell>
          <cell r="S19">
            <v>248.4</v>
          </cell>
          <cell r="T19">
            <v>229.95</v>
          </cell>
          <cell r="U19">
            <v>212.1</v>
          </cell>
          <cell r="V19">
            <v>-6.9182769726248039E-2</v>
          </cell>
          <cell r="W19">
            <v>5.5011959121549214E-3</v>
          </cell>
          <cell r="X19">
            <v>9.012258368694015E-2</v>
          </cell>
          <cell r="Z19">
            <v>637959</v>
          </cell>
          <cell r="AA19">
            <v>714544.94</v>
          </cell>
          <cell r="AB19">
            <v>795376.94</v>
          </cell>
          <cell r="AC19">
            <v>790726.3</v>
          </cell>
          <cell r="AD19">
            <v>359077.66</v>
          </cell>
          <cell r="AE19">
            <v>404235.75</v>
          </cell>
          <cell r="AF19">
            <v>80063.100000000006</v>
          </cell>
          <cell r="AG19">
            <v>100553.69500000001</v>
          </cell>
          <cell r="AH19">
            <v>122151</v>
          </cell>
          <cell r="AI19">
            <v>166622.19</v>
          </cell>
          <cell r="AJ19">
            <v>200107.95</v>
          </cell>
          <cell r="AK19">
            <v>198181.38</v>
          </cell>
          <cell r="AL19">
            <v>124307.336</v>
          </cell>
          <cell r="AM19">
            <v>145145.85999999999</v>
          </cell>
          <cell r="AN19">
            <v>42314.854000000007</v>
          </cell>
          <cell r="AO19">
            <v>54962.090000000026</v>
          </cell>
          <cell r="AP19">
            <v>76918.559999999998</v>
          </cell>
          <cell r="AQ19">
            <v>86380.9</v>
          </cell>
          <cell r="AR19">
            <v>85836.483999999997</v>
          </cell>
          <cell r="AS19">
            <v>0.12004837301456672</v>
          </cell>
          <cell r="AT19">
            <v>0.11312374558274807</v>
          </cell>
          <cell r="AU19">
            <v>0.50252634914747285</v>
          </cell>
          <cell r="AV19">
            <v>0.50823166937678632</v>
          </cell>
          <cell r="AW19">
            <v>0.11204767610557849</v>
          </cell>
          <cell r="AX19">
            <v>0.1264226933710198</v>
          </cell>
          <cell r="AY19">
            <v>0.19147155224708798</v>
          </cell>
          <cell r="AZ19">
            <v>0.23318643891033644</v>
          </cell>
          <cell r="BA19">
            <v>0.25158882529332571</v>
          </cell>
          <cell r="BB19">
            <v>5.9219303967081499E-2</v>
          </cell>
          <cell r="BC19">
            <v>6.9101940521433813E-2</v>
          </cell>
          <cell r="BD19">
            <v>0.10764691721139331</v>
          </cell>
          <cell r="BE19">
            <v>0.10860372693228949</v>
          </cell>
          <cell r="BF19">
            <v>1.7109506068709979E-2</v>
          </cell>
          <cell r="BG19">
            <v>2.2223264965158199E-2</v>
          </cell>
          <cell r="BI19">
            <v>3.2456601924079163</v>
          </cell>
          <cell r="BJ19">
            <v>3.5916969407130646</v>
          </cell>
          <cell r="BK19">
            <v>3.2266825274064397</v>
          </cell>
          <cell r="BL19">
            <v>7.1472808277741375</v>
          </cell>
          <cell r="BM19">
            <v>6.3488419195976604</v>
          </cell>
          <cell r="BN19">
            <v>32.055077495125715</v>
          </cell>
          <cell r="BO19">
            <v>25.522969344885833</v>
          </cell>
          <cell r="BP19">
            <v>12.949899102529209</v>
          </cell>
          <cell r="BQ19">
            <v>15.402683610148204</v>
          </cell>
          <cell r="BR19">
            <v>12.825221961446308</v>
          </cell>
          <cell r="BS19">
            <v>60.650779392976276</v>
          </cell>
          <cell r="BT19">
            <v>46.694528446789391</v>
          </cell>
          <cell r="BU19">
            <v>28.812666651164324</v>
          </cell>
          <cell r="BV19">
            <v>32.153202036023558</v>
          </cell>
          <cell r="BW19">
            <v>28.631074693595462</v>
          </cell>
          <cell r="BY19">
            <v>3.2583275567460301</v>
          </cell>
          <cell r="BZ19">
            <v>3.1080796570576501</v>
          </cell>
          <cell r="CA19">
            <v>2.8624845930787601</v>
          </cell>
          <cell r="CB19">
            <v>13.4859317103175</v>
          </cell>
          <cell r="CC19">
            <v>13.678631226640199</v>
          </cell>
          <cell r="CD19">
            <v>15.914710645982501</v>
          </cell>
          <cell r="CE19">
            <v>31.690275781745999</v>
          </cell>
          <cell r="CF19">
            <v>34.249040622266399</v>
          </cell>
          <cell r="CG19">
            <v>49.591418642800299</v>
          </cell>
          <cell r="CI19">
            <v>-3.8876890421551957E-3</v>
          </cell>
          <cell r="CJ19">
            <v>4.42654470061139E-2</v>
          </cell>
          <cell r="CK19">
            <v>0.13386119186654888</v>
          </cell>
          <cell r="CL19">
            <v>-3.9747539829094403E-2</v>
          </cell>
          <cell r="CM19">
            <v>-5.3275222647404141E-2</v>
          </cell>
          <cell r="CN19">
            <v>-0.18629377620520715</v>
          </cell>
          <cell r="CO19">
            <v>-9.0804168142935904E-2</v>
          </cell>
          <cell r="CP19">
            <v>-0.15873069354146274</v>
          </cell>
          <cell r="CQ19">
            <v>-0.4189989429683848</v>
          </cell>
        </row>
        <row r="20">
          <cell r="B20" t="str">
            <v>GOOGL</v>
          </cell>
          <cell r="C20" t="str">
            <v>Alphabet Inc. Class A</v>
          </cell>
          <cell r="D20" t="str">
            <v>Internet Software/Services</v>
          </cell>
          <cell r="E20">
            <v>5818</v>
          </cell>
          <cell r="F20">
            <v>12203</v>
          </cell>
          <cell r="G20">
            <v>3869717.7360000005</v>
          </cell>
          <cell r="H20">
            <v>3834048</v>
          </cell>
          <cell r="I20">
            <v>98496</v>
          </cell>
          <cell r="J20">
            <v>41195</v>
          </cell>
          <cell r="K20">
            <v>-57301</v>
          </cell>
          <cell r="L20">
            <v>3812416.7360000005</v>
          </cell>
          <cell r="M20">
            <v>3823680.105</v>
          </cell>
          <cell r="O20">
            <v>317.11200000000002</v>
          </cell>
          <cell r="P20">
            <v>144.69999999999999</v>
          </cell>
          <cell r="Q20">
            <v>323.44</v>
          </cell>
          <cell r="R20">
            <v>0.980435320306703</v>
          </cell>
          <cell r="S20">
            <v>290.10000000000002</v>
          </cell>
          <cell r="T20">
            <v>240.37</v>
          </cell>
          <cell r="U20">
            <v>174.67</v>
          </cell>
          <cell r="V20">
            <v>9.3112719751809792E-2</v>
          </cell>
          <cell r="W20">
            <v>0.31926613138078808</v>
          </cell>
          <cell r="X20">
            <v>0.81549207076200858</v>
          </cell>
          <cell r="Z20">
            <v>349807</v>
          </cell>
          <cell r="AA20">
            <v>399985.66</v>
          </cell>
          <cell r="AB20">
            <v>455169.84</v>
          </cell>
          <cell r="AC20">
            <v>451994.84</v>
          </cell>
          <cell r="AD20">
            <v>238044.64</v>
          </cell>
          <cell r="AE20">
            <v>272179.65999999997</v>
          </cell>
          <cell r="AF20">
            <v>130353.55</v>
          </cell>
          <cell r="AG20">
            <v>153920.70000000001</v>
          </cell>
          <cell r="AH20">
            <v>127490</v>
          </cell>
          <cell r="AI20">
            <v>176922.34</v>
          </cell>
          <cell r="AJ20">
            <v>212313.64</v>
          </cell>
          <cell r="AK20">
            <v>210277.42</v>
          </cell>
          <cell r="AL20">
            <v>89223.41</v>
          </cell>
          <cell r="AM20">
            <v>112927.34</v>
          </cell>
          <cell r="AN20">
            <v>87698.93</v>
          </cell>
          <cell r="AO20">
            <v>99386.300000000017</v>
          </cell>
          <cell r="AP20">
            <v>129211.766</v>
          </cell>
          <cell r="AQ20">
            <v>135042.82999999999</v>
          </cell>
          <cell r="AR20">
            <v>134707.34</v>
          </cell>
          <cell r="AS20">
            <v>0.14344670060919307</v>
          </cell>
          <cell r="AT20">
            <v>0.13796539605944891</v>
          </cell>
          <cell r="AU20">
            <v>0.59513293551573831</v>
          </cell>
          <cell r="AV20">
            <v>0.59797384642181028</v>
          </cell>
          <cell r="AW20">
            <v>0.32589555835576706</v>
          </cell>
          <cell r="AX20">
            <v>0.33816102578325491</v>
          </cell>
          <cell r="AY20">
            <v>0.36445811547510487</v>
          </cell>
          <cell r="AZ20">
            <v>0.44232170723320435</v>
          </cell>
          <cell r="BA20">
            <v>0.46644927089193783</v>
          </cell>
          <cell r="BB20">
            <v>0.21925518529839294</v>
          </cell>
          <cell r="BC20">
            <v>0.21834992406351003</v>
          </cell>
          <cell r="BD20">
            <v>0.32304099601970732</v>
          </cell>
          <cell r="BE20">
            <v>0.29668668293136463</v>
          </cell>
          <cell r="BF20">
            <v>2.2873717282621393E-2</v>
          </cell>
          <cell r="BG20">
            <v>2.5922028101891269E-2</v>
          </cell>
          <cell r="BI20">
            <v>8.4595658326541958</v>
          </cell>
          <cell r="BJ20">
            <v>9.5595429721155512</v>
          </cell>
          <cell r="BK20">
            <v>8.4005568229213079</v>
          </cell>
          <cell r="BL20">
            <v>16.062869993628084</v>
          </cell>
          <cell r="BM20">
            <v>14.048368291003083</v>
          </cell>
          <cell r="BN20">
            <v>29.333149001312201</v>
          </cell>
          <cell r="BO20">
            <v>24.8418835478269</v>
          </cell>
          <cell r="BP20">
            <v>18.183978598367812</v>
          </cell>
          <cell r="BQ20">
            <v>21.612194960794664</v>
          </cell>
          <cell r="BR20">
            <v>18.009582921756699</v>
          </cell>
          <cell r="BS20">
            <v>43.60007704769032</v>
          </cell>
          <cell r="BT20">
            <v>38.472909294339352</v>
          </cell>
          <cell r="BU20">
            <v>28.462057078701132</v>
          </cell>
          <cell r="BV20">
            <v>29.67259189074159</v>
          </cell>
          <cell r="BW20">
            <v>28.39134813747609</v>
          </cell>
          <cell r="BY20">
            <v>5.8869950190476201</v>
          </cell>
          <cell r="BZ20">
            <v>5.6109837880715698</v>
          </cell>
          <cell r="CA20">
            <v>5.2767117327764499</v>
          </cell>
          <cell r="CB20">
            <v>13.0035325496032</v>
          </cell>
          <cell r="CC20">
            <v>12.804570923459201</v>
          </cell>
          <cell r="CD20">
            <v>12.8352289144789</v>
          </cell>
          <cell r="CE20">
            <v>20.5269108333333</v>
          </cell>
          <cell r="CF20">
            <v>20.6100339542744</v>
          </cell>
          <cell r="CG20">
            <v>21.73468333572</v>
          </cell>
          <cell r="CI20">
            <v>0.436992184515685</v>
          </cell>
          <cell r="CJ20">
            <v>0.50767960703049031</v>
          </cell>
          <cell r="CK20">
            <v>0.60318892921653355</v>
          </cell>
          <cell r="CL20">
            <v>0.39838759421744152</v>
          </cell>
          <cell r="CM20">
            <v>0.42011619968092972</v>
          </cell>
          <cell r="CN20">
            <v>0.41672413632258665</v>
          </cell>
          <cell r="CO20">
            <v>0.38657284136890602</v>
          </cell>
          <cell r="CP20">
            <v>0.38098060109203602</v>
          </cell>
          <cell r="CQ20">
            <v>0.30952251013130661</v>
          </cell>
        </row>
        <row r="21">
          <cell r="B21" t="str">
            <v>TSLA</v>
          </cell>
          <cell r="C21" t="str">
            <v>Tesla, Inc.</v>
          </cell>
          <cell r="D21" t="str">
            <v>Motor Vehicles</v>
          </cell>
          <cell r="E21">
            <v>3325.819</v>
          </cell>
          <cell r="F21">
            <v>3526</v>
          </cell>
          <cell r="G21">
            <v>1571591.7952000001</v>
          </cell>
          <cell r="H21">
            <v>1480555.4</v>
          </cell>
          <cell r="I21">
            <v>42235</v>
          </cell>
          <cell r="J21">
            <v>13788</v>
          </cell>
          <cell r="K21">
            <v>-28447</v>
          </cell>
          <cell r="L21">
            <v>1543144.7952000001</v>
          </cell>
          <cell r="M21">
            <v>1541968.42</v>
          </cell>
          <cell r="O21">
            <v>445.71519999999998</v>
          </cell>
          <cell r="P21">
            <v>221.86</v>
          </cell>
          <cell r="Q21">
            <v>479.86</v>
          </cell>
          <cell r="R21">
            <v>0.92884424623848616</v>
          </cell>
          <cell r="S21">
            <v>445.23</v>
          </cell>
          <cell r="T21">
            <v>368.81</v>
          </cell>
          <cell r="U21">
            <v>325.31</v>
          </cell>
          <cell r="V21">
            <v>1.089773824764606E-3</v>
          </cell>
          <cell r="W21">
            <v>0.20852254548412463</v>
          </cell>
          <cell r="X21">
            <v>0.37012449663397984</v>
          </cell>
          <cell r="Z21">
            <v>97690</v>
          </cell>
          <cell r="AA21">
            <v>95123.483999999997</v>
          </cell>
          <cell r="AB21">
            <v>108490.78</v>
          </cell>
          <cell r="AC21">
            <v>107721.7</v>
          </cell>
          <cell r="AD21">
            <v>16855.171999999999</v>
          </cell>
          <cell r="AE21">
            <v>19741.465</v>
          </cell>
          <cell r="AF21">
            <v>4748.1405999999997</v>
          </cell>
          <cell r="AG21">
            <v>7115.9486999999999</v>
          </cell>
          <cell r="AH21">
            <v>13128</v>
          </cell>
          <cell r="AI21">
            <v>13186.561</v>
          </cell>
          <cell r="AJ21">
            <v>15279.186</v>
          </cell>
          <cell r="AK21">
            <v>15158.788</v>
          </cell>
          <cell r="AL21">
            <v>9963.4375</v>
          </cell>
          <cell r="AM21">
            <v>11443.444</v>
          </cell>
          <cell r="AN21">
            <v>3223.1234999999997</v>
          </cell>
          <cell r="AO21">
            <v>3835.7420000000002</v>
          </cell>
          <cell r="AP21">
            <v>6148.5933000000005</v>
          </cell>
          <cell r="AQ21">
            <v>7683.1733000000004</v>
          </cell>
          <cell r="AR21">
            <v>7594.8823000000002</v>
          </cell>
          <cell r="AS21">
            <v>-2.6272044221517077E-2</v>
          </cell>
          <cell r="AT21">
            <v>0.14052571917992407</v>
          </cell>
          <cell r="AU21">
            <v>0.17719254269534535</v>
          </cell>
          <cell r="AV21">
            <v>0.18196444896054761</v>
          </cell>
          <cell r="AW21">
            <v>4.9915545566013964E-2</v>
          </cell>
          <cell r="AX21">
            <v>6.5590354313979499E-2</v>
          </cell>
          <cell r="AY21">
            <v>0.13438427679394002</v>
          </cell>
          <cell r="AZ21">
            <v>0.13862571518091157</v>
          </cell>
          <cell r="BA21">
            <v>0.14083395842485416</v>
          </cell>
          <cell r="BB21">
            <v>3.3883572851473774E-2</v>
          </cell>
          <cell r="BC21">
            <v>3.5355465229395533E-2</v>
          </cell>
          <cell r="BD21">
            <v>6.4638016202182E-2</v>
          </cell>
          <cell r="BE21">
            <v>7.081867509847381E-2</v>
          </cell>
          <cell r="BF21">
            <v>2.1769691968297842E-3</v>
          </cell>
          <cell r="BG21">
            <v>2.5907453378644259E-3</v>
          </cell>
          <cell r="BI21">
            <v>14.314371384781339</v>
          </cell>
          <cell r="BJ21">
            <v>16.2101760276148</v>
          </cell>
          <cell r="BK21">
            <v>14.212898275779748</v>
          </cell>
          <cell r="BL21">
            <v>91.483398686171824</v>
          </cell>
          <cell r="BM21">
            <v>78.108104945605604</v>
          </cell>
          <cell r="BN21" t="str">
            <v>--</v>
          </cell>
          <cell r="BO21" t="str">
            <v>--</v>
          </cell>
          <cell r="BP21" t="str">
            <v>--</v>
          </cell>
          <cell r="BQ21" t="str">
            <v>--</v>
          </cell>
          <cell r="BR21" t="str">
            <v>--</v>
          </cell>
          <cell r="BS21" t="str">
            <v>--</v>
          </cell>
          <cell r="BT21" t="str">
            <v>--</v>
          </cell>
          <cell r="BU21" t="str">
            <v>--</v>
          </cell>
          <cell r="BV21" t="str">
            <v>--</v>
          </cell>
          <cell r="BW21" t="str">
            <v>--</v>
          </cell>
          <cell r="BY21">
            <v>11.2139792595238</v>
          </cell>
          <cell r="BZ21">
            <v>8.9251888320079509</v>
          </cell>
          <cell r="CA21">
            <v>9.7046104684168704</v>
          </cell>
          <cell r="CB21">
            <v>75.160089579365106</v>
          </cell>
          <cell r="CC21">
            <v>58.869449260437399</v>
          </cell>
          <cell r="CD21">
            <v>54.061360254972101</v>
          </cell>
          <cell r="CE21">
            <v>141.37482265873001</v>
          </cell>
          <cell r="CF21">
            <v>106.37764724453299</v>
          </cell>
          <cell r="CG21">
            <v>93.994334159109101</v>
          </cell>
          <cell r="CI21">
            <v>0.27647564290119764</v>
          </cell>
          <cell r="CJ21">
            <v>0.60381720254998261</v>
          </cell>
          <cell r="CK21">
            <v>0.4750073103260235</v>
          </cell>
          <cell r="CL21" t="str">
            <v>--</v>
          </cell>
          <cell r="CM21" t="str">
            <v>--</v>
          </cell>
          <cell r="CN21" t="str">
            <v>--</v>
          </cell>
          <cell r="CO21" t="str">
            <v>--</v>
          </cell>
          <cell r="CP21" t="str">
            <v>--</v>
          </cell>
          <cell r="CQ21" t="str">
            <v>--</v>
          </cell>
        </row>
        <row r="22">
          <cell r="B22" t="str">
            <v>MSFT</v>
          </cell>
          <cell r="C22" t="str">
            <v>Microsoft Corporation</v>
          </cell>
          <cell r="D22" t="str">
            <v>Packaged Software</v>
          </cell>
          <cell r="E22">
            <v>7432.3774000000003</v>
          </cell>
          <cell r="F22">
            <v>7466</v>
          </cell>
          <cell r="G22">
            <v>3584177.2355999998</v>
          </cell>
          <cell r="H22">
            <v>3571704.5</v>
          </cell>
          <cell r="I22">
            <v>102012</v>
          </cell>
          <cell r="J22">
            <v>120375</v>
          </cell>
          <cell r="K22">
            <v>18363</v>
          </cell>
          <cell r="L22">
            <v>3602540.2355999998</v>
          </cell>
          <cell r="M22">
            <v>3604656.1</v>
          </cell>
          <cell r="O22">
            <v>480.06659999999999</v>
          </cell>
          <cell r="P22">
            <v>354.56</v>
          </cell>
          <cell r="Q22">
            <v>542.07000000000005</v>
          </cell>
          <cell r="R22">
            <v>0.88561735569206923</v>
          </cell>
          <cell r="S22">
            <v>506</v>
          </cell>
          <cell r="T22">
            <v>501.01</v>
          </cell>
          <cell r="U22">
            <v>474.96</v>
          </cell>
          <cell r="V22">
            <v>-5.1251778656126512E-2</v>
          </cell>
          <cell r="W22">
            <v>-4.1802359234346609E-2</v>
          </cell>
          <cell r="X22">
            <v>1.0751642243557402E-2</v>
          </cell>
          <cell r="Z22">
            <v>261802</v>
          </cell>
          <cell r="AA22">
            <v>298133.71999999997</v>
          </cell>
          <cell r="AB22">
            <v>351192.22</v>
          </cell>
          <cell r="AC22">
            <v>348363.63</v>
          </cell>
          <cell r="AD22">
            <v>203281.5</v>
          </cell>
          <cell r="AE22">
            <v>236568.81</v>
          </cell>
          <cell r="AF22">
            <v>134492.63</v>
          </cell>
          <cell r="AG22">
            <v>161956.26999999999</v>
          </cell>
          <cell r="AH22">
            <v>144328</v>
          </cell>
          <cell r="AI22">
            <v>168532.73</v>
          </cell>
          <cell r="AJ22">
            <v>215438.89</v>
          </cell>
          <cell r="AK22">
            <v>213600.22</v>
          </cell>
          <cell r="AL22">
            <v>69752.899999999994</v>
          </cell>
          <cell r="AM22">
            <v>105656.87</v>
          </cell>
          <cell r="AN22">
            <v>98779.830000000016</v>
          </cell>
          <cell r="AO22">
            <v>109782.02000000002</v>
          </cell>
          <cell r="AP22">
            <v>106831.14</v>
          </cell>
          <cell r="AQ22">
            <v>128595.26</v>
          </cell>
          <cell r="AR22">
            <v>127382.836</v>
          </cell>
          <cell r="AS22">
            <v>0.13877556321189277</v>
          </cell>
          <cell r="AT22">
            <v>0.17796879869878524</v>
          </cell>
          <cell r="AU22">
            <v>0.68184672300738081</v>
          </cell>
          <cell r="AV22">
            <v>0.67361631758243401</v>
          </cell>
          <cell r="AW22">
            <v>0.45111512377734397</v>
          </cell>
          <cell r="AX22">
            <v>0.46116132640979346</v>
          </cell>
          <cell r="AY22">
            <v>0.5512868503678352</v>
          </cell>
          <cell r="AZ22">
            <v>0.56529241308229083</v>
          </cell>
          <cell r="BA22">
            <v>0.6134500644689681</v>
          </cell>
          <cell r="BB22">
            <v>0.33132726482599828</v>
          </cell>
          <cell r="BC22">
            <v>0.31259809798747829</v>
          </cell>
          <cell r="BD22">
            <v>0.35833296548944549</v>
          </cell>
          <cell r="BE22">
            <v>0.36616773572034145</v>
          </cell>
          <cell r="BF22">
            <v>2.7656215680776509E-2</v>
          </cell>
          <cell r="BG22">
            <v>3.0736590890987767E-2</v>
          </cell>
          <cell r="BI22">
            <v>10.347395048099596</v>
          </cell>
          <cell r="BJ22">
            <v>12.090735995914855</v>
          </cell>
          <cell r="BK22">
            <v>10.264054539704782</v>
          </cell>
          <cell r="BL22">
            <v>17.732337177755969</v>
          </cell>
          <cell r="BM22">
            <v>15.237241545070967</v>
          </cell>
          <cell r="BN22">
            <v>26.801885724147116</v>
          </cell>
          <cell r="BO22">
            <v>22.256971588688728</v>
          </cell>
          <cell r="BP22">
            <v>16.875713423890669</v>
          </cell>
          <cell r="BQ22">
            <v>21.388463237971639</v>
          </cell>
          <cell r="BR22">
            <v>16.731687115543529</v>
          </cell>
          <cell r="BS22">
            <v>36.491823280116996</v>
          </cell>
          <cell r="BT22">
            <v>32.834667279760382</v>
          </cell>
          <cell r="BU22">
            <v>28.039134722985757</v>
          </cell>
          <cell r="BV22">
            <v>33.433177816879983</v>
          </cell>
          <cell r="BW22">
            <v>27.77477567991231</v>
          </cell>
          <cell r="BY22">
            <v>10.8922537579365</v>
          </cell>
          <cell r="BZ22">
            <v>11.0853891153082</v>
          </cell>
          <cell r="CA22">
            <v>10.315853520286399</v>
          </cell>
          <cell r="CB22">
            <v>18.934015307539699</v>
          </cell>
          <cell r="CC22">
            <v>20.027575859841001</v>
          </cell>
          <cell r="CD22">
            <v>19.874056106205199</v>
          </cell>
          <cell r="CE22">
            <v>30.1710594246032</v>
          </cell>
          <cell r="CF22">
            <v>30.871432107355801</v>
          </cell>
          <cell r="CG22">
            <v>29.5965311662689</v>
          </cell>
          <cell r="CI22">
            <v>-5.0022586871876662E-2</v>
          </cell>
          <cell r="CJ22">
            <v>-6.657358253572554E-2</v>
          </cell>
          <cell r="CK22">
            <v>3.0575781006554337E-3</v>
          </cell>
          <cell r="CL22">
            <v>-0.10870921197731342</v>
          </cell>
          <cell r="CM22">
            <v>-0.15737613268864947</v>
          </cell>
          <cell r="CN22">
            <v>-0.15086717408321937</v>
          </cell>
          <cell r="CO22">
            <v>-7.0661247641803038E-2</v>
          </cell>
          <cell r="CP22">
            <v>-9.1744930216411502E-2</v>
          </cell>
          <cell r="CQ22">
            <v>-5.2620911367413981E-2</v>
          </cell>
        </row>
        <row r="23">
          <cell r="B23" t="str">
            <v>IBM</v>
          </cell>
          <cell r="C23" t="str">
            <v>International Business Machines Corporation</v>
          </cell>
          <cell r="D23" t="str">
            <v>Information Technology Services</v>
          </cell>
          <cell r="E23">
            <v>934.73519999999996</v>
          </cell>
          <cell r="F23">
            <v>948.93102599999997</v>
          </cell>
          <cell r="G23">
            <v>296275.24493772001</v>
          </cell>
          <cell r="H23">
            <v>291842.96999999997</v>
          </cell>
          <cell r="I23">
            <v>14885</v>
          </cell>
          <cell r="J23">
            <v>66569</v>
          </cell>
          <cell r="K23">
            <v>51684</v>
          </cell>
          <cell r="L23">
            <v>347959.24493772001</v>
          </cell>
          <cell r="M23">
            <v>346412.08357299998</v>
          </cell>
          <cell r="O23">
            <v>312.22000000000003</v>
          </cell>
          <cell r="P23">
            <v>217.4</v>
          </cell>
          <cell r="Q23">
            <v>314.98</v>
          </cell>
          <cell r="R23">
            <v>0.99123753889135824</v>
          </cell>
          <cell r="S23">
            <v>309.13</v>
          </cell>
          <cell r="T23">
            <v>257.01</v>
          </cell>
          <cell r="U23">
            <v>277.22000000000003</v>
          </cell>
          <cell r="V23">
            <v>9.9957946495004002E-3</v>
          </cell>
          <cell r="W23">
            <v>0.2148165441033425</v>
          </cell>
          <cell r="X23">
            <v>0.12625351706226096</v>
          </cell>
          <cell r="Z23">
            <v>62753</v>
          </cell>
          <cell r="AA23">
            <v>67074.516000000003</v>
          </cell>
          <cell r="AB23">
            <v>70150.13</v>
          </cell>
          <cell r="AC23">
            <v>69973.179999999993</v>
          </cell>
          <cell r="AD23">
            <v>39757.58</v>
          </cell>
          <cell r="AE23">
            <v>42034.656000000003</v>
          </cell>
          <cell r="AF23">
            <v>13812.620999999999</v>
          </cell>
          <cell r="AG23">
            <v>14363.154</v>
          </cell>
          <cell r="AH23">
            <v>15363</v>
          </cell>
          <cell r="AI23">
            <v>18420.349999999999</v>
          </cell>
          <cell r="AJ23">
            <v>19286.328000000001</v>
          </cell>
          <cell r="AK23">
            <v>19236.506000000001</v>
          </cell>
          <cell r="AL23">
            <v>1483.4236000000001</v>
          </cell>
          <cell r="AM23">
            <v>1550.1166000000001</v>
          </cell>
          <cell r="AN23">
            <v>16936.926399999997</v>
          </cell>
          <cell r="AO23">
            <v>17736.2114</v>
          </cell>
          <cell r="AP23">
            <v>10773.184999999999</v>
          </cell>
          <cell r="AQ23">
            <v>11722.084000000001</v>
          </cell>
          <cell r="AR23">
            <v>11667.489</v>
          </cell>
          <cell r="AS23">
            <v>6.8865488502541705E-2</v>
          </cell>
          <cell r="AT23">
            <v>4.5853689052336888E-2</v>
          </cell>
          <cell r="AU23">
            <v>0.59273748617135014</v>
          </cell>
          <cell r="AV23">
            <v>0.5992099515710092</v>
          </cell>
          <cell r="AW23">
            <v>0.20592949191016149</v>
          </cell>
          <cell r="AX23">
            <v>0.20474878663802903</v>
          </cell>
          <cell r="AY23">
            <v>0.24481698086147277</v>
          </cell>
          <cell r="AZ23">
            <v>0.27462516464524317</v>
          </cell>
          <cell r="BA23">
            <v>0.27492932657430569</v>
          </cell>
          <cell r="BB23">
            <v>0.25250911091181033</v>
          </cell>
          <cell r="BC23">
            <v>0.25283219574931648</v>
          </cell>
          <cell r="BD23">
            <v>0.16061517313073118</v>
          </cell>
          <cell r="BE23">
            <v>0.16709996118325082</v>
          </cell>
          <cell r="BF23">
            <v>5.8034381982886199E-2</v>
          </cell>
          <cell r="BG23">
            <v>6.0773132208735411E-2</v>
          </cell>
          <cell r="BI23">
            <v>4.9506408537242415</v>
          </cell>
          <cell r="BJ23">
            <v>5.1645856613113681</v>
          </cell>
          <cell r="BK23">
            <v>4.9381531234938549</v>
          </cell>
          <cell r="BL23">
            <v>8.7131078796294936</v>
          </cell>
          <cell r="BM23">
            <v>8.241106661441453</v>
          </cell>
          <cell r="BN23">
            <v>25.079388160509147</v>
          </cell>
          <cell r="BO23">
            <v>24.118106898596224</v>
          </cell>
          <cell r="BP23">
            <v>18.00805632649713</v>
          </cell>
          <cell r="BQ23">
            <v>18.80594470642523</v>
          </cell>
          <cell r="BR23">
            <v>17.961536461113798</v>
          </cell>
          <cell r="BS23">
            <v>20.453066594951967</v>
          </cell>
          <cell r="BT23">
            <v>19.531346112225521</v>
          </cell>
          <cell r="BU23">
            <v>25.013348630540811</v>
          </cell>
          <cell r="BV23">
            <v>27.08975757865478</v>
          </cell>
          <cell r="BW23">
            <v>24.896850252907242</v>
          </cell>
          <cell r="BY23">
            <v>4.3828810075396802</v>
          </cell>
          <cell r="BZ23">
            <v>3.9060499998011902</v>
          </cell>
          <cell r="CA23">
            <v>3.1124316722354801</v>
          </cell>
          <cell r="CB23">
            <v>16.6338177480159</v>
          </cell>
          <cell r="CC23">
            <v>15.313122067594399</v>
          </cell>
          <cell r="CD23">
            <v>12.2601133878282</v>
          </cell>
          <cell r="CE23">
            <v>23.098071849206299</v>
          </cell>
          <cell r="CF23">
            <v>20.776958850894601</v>
          </cell>
          <cell r="CG23">
            <v>16.152975620922799</v>
          </cell>
          <cell r="CI23">
            <v>0.12954032865776388</v>
          </cell>
          <cell r="CJ23">
            <v>0.26742895098020214</v>
          </cell>
          <cell r="CK23">
            <v>0.59060226056897869</v>
          </cell>
          <cell r="CL23">
            <v>8.2617147746803399E-2</v>
          </cell>
          <cell r="CM23">
            <v>0.1759885571999551</v>
          </cell>
          <cell r="CN23">
            <v>0.46883277151216785</v>
          </cell>
          <cell r="CO23">
            <v>8.2919336031086255E-2</v>
          </cell>
          <cell r="CP23">
            <v>0.20389845357294933</v>
          </cell>
          <cell r="CQ23">
            <v>0.548528841840215</v>
          </cell>
        </row>
        <row r="24">
          <cell r="B24" t="str">
            <v>TSM</v>
          </cell>
          <cell r="C24" t="str">
            <v>Taiwan Semiconductor Manufacturing Co., Ltd. Sponsored ADR</v>
          </cell>
          <cell r="D24" t="str">
            <v>Semiconductors</v>
          </cell>
          <cell r="E24">
            <v>5186.5050000000001</v>
          </cell>
          <cell r="F24">
            <v>5186.0086000000001</v>
          </cell>
          <cell r="G24">
            <v>1592363.9406300001</v>
          </cell>
          <cell r="H24">
            <v>1592315.3</v>
          </cell>
          <cell r="I24">
            <v>90267.771901043394</v>
          </cell>
          <cell r="J24">
            <v>33764.819181048602</v>
          </cell>
          <cell r="K24">
            <v>-56502.952719994792</v>
          </cell>
          <cell r="L24">
            <v>1535860.9879100053</v>
          </cell>
          <cell r="M24">
            <v>1196133.72507878</v>
          </cell>
          <cell r="O24">
            <v>307.05</v>
          </cell>
          <cell r="P24">
            <v>141.37</v>
          </cell>
          <cell r="Q24">
            <v>307.05</v>
          </cell>
          <cell r="R24">
            <v>1</v>
          </cell>
          <cell r="S24">
            <v>295.27</v>
          </cell>
          <cell r="T24">
            <v>258.91000000000003</v>
          </cell>
          <cell r="U24">
            <v>211.1</v>
          </cell>
          <cell r="V24">
            <v>3.9895688691705899E-2</v>
          </cell>
          <cell r="W24">
            <v>0.18593333590823069</v>
          </cell>
          <cell r="X24">
            <v>0.4545239223117008</v>
          </cell>
          <cell r="Z24">
            <v>90115.570103717604</v>
          </cell>
          <cell r="AA24">
            <v>122477.14</v>
          </cell>
          <cell r="AB24">
            <v>149666.42000000001</v>
          </cell>
          <cell r="AC24">
            <v>148102.10999999999</v>
          </cell>
          <cell r="AD24">
            <v>72821.42</v>
          </cell>
          <cell r="AE24">
            <v>88814.14</v>
          </cell>
          <cell r="AF24">
            <v>61101.491999999998</v>
          </cell>
          <cell r="AG24">
            <v>74518.36</v>
          </cell>
          <cell r="AH24">
            <v>61836.565609999998</v>
          </cell>
          <cell r="AI24">
            <v>84155.414000000004</v>
          </cell>
          <cell r="AJ24">
            <v>102767.67</v>
          </cell>
          <cell r="AK24">
            <v>101696.83</v>
          </cell>
          <cell r="AL24">
            <v>40009.56</v>
          </cell>
          <cell r="AM24">
            <v>45044.245999999999</v>
          </cell>
          <cell r="AN24">
            <v>44145.854000000007</v>
          </cell>
          <cell r="AO24">
            <v>57723.423999999999</v>
          </cell>
          <cell r="AP24">
            <v>53805.163999999997</v>
          </cell>
          <cell r="AQ24">
            <v>65035.887000000002</v>
          </cell>
          <cell r="AR24">
            <v>64389.74</v>
          </cell>
          <cell r="AS24">
            <v>0.35911185890558284</v>
          </cell>
          <cell r="AT24">
            <v>0.2219947330579406</v>
          </cell>
          <cell r="AU24">
            <v>0.59457152575574512</v>
          </cell>
          <cell r="AV24">
            <v>0.59341394014769644</v>
          </cell>
          <cell r="AW24">
            <v>0.49888078705952799</v>
          </cell>
          <cell r="AX24">
            <v>0.49789632169995107</v>
          </cell>
          <cell r="AY24">
            <v>0.68619180391168622</v>
          </cell>
          <cell r="AZ24">
            <v>0.68711119479112592</v>
          </cell>
          <cell r="BA24">
            <v>0.68664480649700843</v>
          </cell>
          <cell r="BB24">
            <v>0.36044158117996555</v>
          </cell>
          <cell r="BC24">
            <v>0.38568052873851055</v>
          </cell>
          <cell r="BD24">
            <v>0.43930780878782766</v>
          </cell>
          <cell r="BE24">
            <v>0.43453893665659937</v>
          </cell>
          <cell r="BF24">
            <v>2.7724316911355438E-2</v>
          </cell>
          <cell r="BG24">
            <v>3.6251252500054482E-2</v>
          </cell>
          <cell r="BI24">
            <v>8.0764124500237031</v>
          </cell>
          <cell r="BJ24">
            <v>9.7661794280857634</v>
          </cell>
          <cell r="BK24">
            <v>7.9919979717479706</v>
          </cell>
          <cell r="BL24">
            <v>16.425575401836163</v>
          </cell>
          <cell r="BM24">
            <v>13.467829841946113</v>
          </cell>
          <cell r="BN24">
            <v>19.576178681181467</v>
          </cell>
          <cell r="BO24">
            <v>16.051530456102093</v>
          </cell>
          <cell r="BP24">
            <v>11.761760175600163</v>
          </cell>
          <cell r="BQ24">
            <v>14.213390062804276</v>
          </cell>
          <cell r="BR24">
            <v>11.639202534014638</v>
          </cell>
          <cell r="BS24">
            <v>27.09504102194466</v>
          </cell>
          <cell r="BT24">
            <v>20.721808274553844</v>
          </cell>
          <cell r="BU24">
            <v>24.729332654550245</v>
          </cell>
          <cell r="BV24">
            <v>29.594098068356416</v>
          </cell>
          <cell r="BW24">
            <v>24.483640855086669</v>
          </cell>
          <cell r="BY24">
            <v>7.0277267727642299</v>
          </cell>
          <cell r="BZ24">
            <v>6.9628741640657097</v>
          </cell>
          <cell r="CA24">
            <v>6.7815548489728901</v>
          </cell>
          <cell r="CB24">
            <v>10.386351609756099</v>
          </cell>
          <cell r="CC24">
            <v>10.254478071047201</v>
          </cell>
          <cell r="CD24">
            <v>9.9797307119967194</v>
          </cell>
          <cell r="CE24">
            <v>21.624994847222201</v>
          </cell>
          <cell r="CF24">
            <v>21.661147112325999</v>
          </cell>
          <cell r="CG24">
            <v>20.634005809466998</v>
          </cell>
          <cell r="CI24">
            <v>0.14922117936110246</v>
          </cell>
          <cell r="CJ24">
            <v>0.15992509123671783</v>
          </cell>
          <cell r="CK24">
            <v>0.19093815944686021</v>
          </cell>
          <cell r="CL24">
            <v>0.13242461044281573</v>
          </cell>
          <cell r="CM24">
            <v>0.14698769592268834</v>
          </cell>
          <cell r="CN24">
            <v>0.17856488466780474</v>
          </cell>
          <cell r="CO24">
            <v>0.14355322760813549</v>
          </cell>
          <cell r="CP24">
            <v>0.14164464727162729</v>
          </cell>
          <cell r="CQ24">
            <v>0.19847463856021053</v>
          </cell>
        </row>
        <row r="25">
          <cell r="B25" t="str">
            <v>META</v>
          </cell>
          <cell r="C25" t="str">
            <v>Meta Platforms Inc Class A</v>
          </cell>
          <cell r="D25" t="str">
            <v>Internet Software/Services</v>
          </cell>
          <cell r="E25">
            <v>2177.8892000000001</v>
          </cell>
          <cell r="F25">
            <v>2572</v>
          </cell>
          <cell r="G25">
            <v>1665730.08</v>
          </cell>
          <cell r="H25">
            <v>1642981.3</v>
          </cell>
          <cell r="I25">
            <v>44590</v>
          </cell>
          <cell r="J25">
            <v>51060</v>
          </cell>
          <cell r="K25">
            <v>6470</v>
          </cell>
          <cell r="L25">
            <v>1672200.08</v>
          </cell>
          <cell r="M25">
            <v>1685111.52</v>
          </cell>
          <cell r="O25">
            <v>647.64</v>
          </cell>
          <cell r="P25">
            <v>484.66</v>
          </cell>
          <cell r="Q25">
            <v>790</v>
          </cell>
          <cell r="R25">
            <v>0.81979746835443035</v>
          </cell>
          <cell r="S25">
            <v>631.76</v>
          </cell>
          <cell r="T25">
            <v>750.9</v>
          </cell>
          <cell r="U25">
            <v>682.87</v>
          </cell>
          <cell r="V25">
            <v>2.5136127643408779E-2</v>
          </cell>
          <cell r="W25">
            <v>-0.13751498202157408</v>
          </cell>
          <cell r="X25">
            <v>-5.1591078829059778E-2</v>
          </cell>
          <cell r="Z25">
            <v>164501</v>
          </cell>
          <cell r="AA25">
            <v>199471</v>
          </cell>
          <cell r="AB25">
            <v>235746.1</v>
          </cell>
          <cell r="AC25">
            <v>233659.03</v>
          </cell>
          <cell r="AD25">
            <v>163180.98000000001</v>
          </cell>
          <cell r="AE25">
            <v>187740</v>
          </cell>
          <cell r="AF25">
            <v>82406.625</v>
          </cell>
          <cell r="AG25">
            <v>86406.164000000004</v>
          </cell>
          <cell r="AH25">
            <v>85267</v>
          </cell>
          <cell r="AI25">
            <v>121285.234</v>
          </cell>
          <cell r="AJ25">
            <v>140366.69</v>
          </cell>
          <cell r="AK25">
            <v>139268.85999999999</v>
          </cell>
          <cell r="AL25">
            <v>69975.88</v>
          </cell>
          <cell r="AM25">
            <v>109282.79</v>
          </cell>
          <cell r="AN25">
            <v>51309.353999999992</v>
          </cell>
          <cell r="AO25">
            <v>31083.900000000009</v>
          </cell>
          <cell r="AP25">
            <v>59426.406000000003</v>
          </cell>
          <cell r="AQ25">
            <v>76701.88</v>
          </cell>
          <cell r="AR25">
            <v>75707.945000000007</v>
          </cell>
          <cell r="AS25">
            <v>0.21258229433255726</v>
          </cell>
          <cell r="AT25">
            <v>0.18185651047019369</v>
          </cell>
          <cell r="AU25">
            <v>0.81806869168951879</v>
          </cell>
          <cell r="AV25">
            <v>0.79636524209732418</v>
          </cell>
          <cell r="AW25">
            <v>0.41312584285434978</v>
          </cell>
          <cell r="AX25">
            <v>0.36652213546692819</v>
          </cell>
          <cell r="AY25">
            <v>0.51833727454544354</v>
          </cell>
          <cell r="AZ25">
            <v>0.60803442104366046</v>
          </cell>
          <cell r="BA25">
            <v>0.59541468554516919</v>
          </cell>
          <cell r="BB25">
            <v>0.25722713577412254</v>
          </cell>
          <cell r="BC25">
            <v>0.13185329470985949</v>
          </cell>
          <cell r="BD25">
            <v>0.29792002847531723</v>
          </cell>
          <cell r="BE25">
            <v>0.32535800168062168</v>
          </cell>
          <cell r="BF25">
            <v>3.1229420566137905E-2</v>
          </cell>
          <cell r="BG25">
            <v>1.8919204984256369E-2</v>
          </cell>
          <cell r="BI25">
            <v>7.2118399190478542</v>
          </cell>
          <cell r="BJ25">
            <v>8.4479023015876997</v>
          </cell>
          <cell r="BK25">
            <v>7.1479932011600615</v>
          </cell>
          <cell r="BL25">
            <v>10.326641744644505</v>
          </cell>
          <cell r="BM25">
            <v>8.9757724512623849</v>
          </cell>
          <cell r="BN25">
            <v>20.448738435775038</v>
          </cell>
          <cell r="BO25">
            <v>19.502214217032016</v>
          </cell>
          <cell r="BP25">
            <v>12.099700679678143</v>
          </cell>
          <cell r="BQ25">
            <v>13.893789577056017</v>
          </cell>
          <cell r="BR25">
            <v>12.00506701411852</v>
          </cell>
          <cell r="BS25">
            <v>32.842189359858246</v>
          </cell>
          <cell r="BT25">
            <v>54.211714746219087</v>
          </cell>
          <cell r="BU25">
            <v>21.701570423024954</v>
          </cell>
          <cell r="BV25">
            <v>27.647327351413445</v>
          </cell>
          <cell r="BW25">
            <v>21.420352408571993</v>
          </cell>
          <cell r="BY25">
            <v>8.3739570785714292</v>
          </cell>
          <cell r="BZ25">
            <v>7.9418105825049796</v>
          </cell>
          <cell r="CA25">
            <v>6.2780771563245903</v>
          </cell>
          <cell r="CB25">
            <v>13.8210379007936</v>
          </cell>
          <cell r="CC25">
            <v>13.2627656023857</v>
          </cell>
          <cell r="CD25">
            <v>11.6205738820207</v>
          </cell>
          <cell r="CE25">
            <v>24.3943347777778</v>
          </cell>
          <cell r="CF25">
            <v>23.575977381709698</v>
          </cell>
          <cell r="CG25">
            <v>21.1694817565633</v>
          </cell>
          <cell r="CI25">
            <v>-0.13877753953353544</v>
          </cell>
          <cell r="CJ25">
            <v>-9.191489218657245E-2</v>
          </cell>
          <cell r="CK25">
            <v>0.14873387814015371</v>
          </cell>
          <cell r="CL25">
            <v>-0.12454471462064498</v>
          </cell>
          <cell r="CM25">
            <v>-8.7693996680326292E-2</v>
          </cell>
          <cell r="CN25">
            <v>4.1230906710962634E-2</v>
          </cell>
          <cell r="CO25">
            <v>-0.11038482415211581</v>
          </cell>
          <cell r="CP25">
            <v>-7.9504952364728432E-2</v>
          </cell>
          <cell r="CQ25">
            <v>2.513470440988419E-2</v>
          </cell>
        </row>
        <row r="26">
          <cell r="B26" t="str">
            <v>TSM</v>
          </cell>
          <cell r="C26" t="str">
            <v>Taiwan Semiconductor Manufacturing Co., Ltd. Sponsored ADR</v>
          </cell>
          <cell r="D26" t="str">
            <v>Semiconductors</v>
          </cell>
          <cell r="E26">
            <v>5186.5050000000001</v>
          </cell>
          <cell r="F26">
            <v>5186.0086000000001</v>
          </cell>
          <cell r="G26">
            <v>1592363.9406300001</v>
          </cell>
          <cell r="H26">
            <v>1592315.3</v>
          </cell>
          <cell r="I26">
            <v>90267.771901043394</v>
          </cell>
          <cell r="J26">
            <v>33764.819181048602</v>
          </cell>
          <cell r="K26">
            <v>-56502.952719994792</v>
          </cell>
          <cell r="L26">
            <v>1535860.9879100053</v>
          </cell>
          <cell r="M26">
            <v>1196133.72507878</v>
          </cell>
          <cell r="O26">
            <v>307.05</v>
          </cell>
          <cell r="P26">
            <v>141.37</v>
          </cell>
          <cell r="Q26">
            <v>307.05</v>
          </cell>
          <cell r="R26">
            <v>1</v>
          </cell>
          <cell r="S26">
            <v>295.27</v>
          </cell>
          <cell r="T26">
            <v>258.91000000000003</v>
          </cell>
          <cell r="U26">
            <v>211.1</v>
          </cell>
          <cell r="V26">
            <v>3.9895688691705899E-2</v>
          </cell>
          <cell r="W26">
            <v>0.18593333590823069</v>
          </cell>
          <cell r="X26">
            <v>0.4545239223117008</v>
          </cell>
          <cell r="Z26">
            <v>90115.570103717604</v>
          </cell>
          <cell r="AA26">
            <v>122477.14</v>
          </cell>
          <cell r="AB26">
            <v>149666.42000000001</v>
          </cell>
          <cell r="AC26">
            <v>148102.10999999999</v>
          </cell>
          <cell r="AD26">
            <v>72821.42</v>
          </cell>
          <cell r="AE26">
            <v>88814.14</v>
          </cell>
          <cell r="AF26">
            <v>61101.491999999998</v>
          </cell>
          <cell r="AG26">
            <v>74518.36</v>
          </cell>
          <cell r="AH26">
            <v>61836.565609999998</v>
          </cell>
          <cell r="AI26">
            <v>84155.414000000004</v>
          </cell>
          <cell r="AJ26">
            <v>102767.67</v>
          </cell>
          <cell r="AK26">
            <v>101696.83</v>
          </cell>
          <cell r="AL26">
            <v>40009.56</v>
          </cell>
          <cell r="AM26">
            <v>45044.245999999999</v>
          </cell>
          <cell r="AN26">
            <v>44145.854000000007</v>
          </cell>
          <cell r="AO26">
            <v>57723.423999999999</v>
          </cell>
          <cell r="AP26">
            <v>53805.163999999997</v>
          </cell>
          <cell r="AQ26">
            <v>65035.887000000002</v>
          </cell>
          <cell r="AR26">
            <v>64389.74</v>
          </cell>
          <cell r="AS26">
            <v>0.35911185890558284</v>
          </cell>
          <cell r="AT26">
            <v>0.2219947330579406</v>
          </cell>
          <cell r="AU26">
            <v>0.59457152575574512</v>
          </cell>
          <cell r="AV26">
            <v>0.59341394014769644</v>
          </cell>
          <cell r="AW26">
            <v>0.49888078705952799</v>
          </cell>
          <cell r="AX26">
            <v>0.49789632169995107</v>
          </cell>
          <cell r="AY26">
            <v>0.68619180391168622</v>
          </cell>
          <cell r="AZ26">
            <v>0.68711119479112592</v>
          </cell>
          <cell r="BA26">
            <v>0.68664480649700843</v>
          </cell>
          <cell r="BB26">
            <v>0.36044158117996555</v>
          </cell>
          <cell r="BC26">
            <v>0.38568052873851055</v>
          </cell>
          <cell r="BD26">
            <v>0.43930780878782766</v>
          </cell>
          <cell r="BE26">
            <v>0.43453893665659937</v>
          </cell>
          <cell r="BF26">
            <v>2.7724316911355438E-2</v>
          </cell>
          <cell r="BG26">
            <v>3.6251252500054482E-2</v>
          </cell>
          <cell r="BI26">
            <v>8.0764124500237031</v>
          </cell>
          <cell r="BJ26">
            <v>9.7661794280857634</v>
          </cell>
          <cell r="BK26">
            <v>7.9919979717479706</v>
          </cell>
          <cell r="BL26">
            <v>16.425575401836163</v>
          </cell>
          <cell r="BM26">
            <v>13.467829841946113</v>
          </cell>
          <cell r="BN26">
            <v>19.576178681181467</v>
          </cell>
          <cell r="BO26">
            <v>16.051530456102093</v>
          </cell>
          <cell r="BP26">
            <v>11.761760175600163</v>
          </cell>
          <cell r="BQ26">
            <v>14.213390062804276</v>
          </cell>
          <cell r="BR26">
            <v>11.639202534014638</v>
          </cell>
          <cell r="BS26">
            <v>27.09504102194466</v>
          </cell>
          <cell r="BT26">
            <v>20.721808274553844</v>
          </cell>
          <cell r="BU26">
            <v>24.729332654550245</v>
          </cell>
          <cell r="BV26">
            <v>29.594098068356416</v>
          </cell>
          <cell r="BW26">
            <v>24.483640855086669</v>
          </cell>
          <cell r="BY26">
            <v>7.0277267727642299</v>
          </cell>
          <cell r="BZ26">
            <v>6.9628741640657097</v>
          </cell>
          <cell r="CA26">
            <v>6.7815548489728901</v>
          </cell>
          <cell r="CB26">
            <v>10.386351609756099</v>
          </cell>
          <cell r="CC26">
            <v>10.254478071047201</v>
          </cell>
          <cell r="CD26">
            <v>9.9797307119967194</v>
          </cell>
          <cell r="CE26">
            <v>21.624994847222201</v>
          </cell>
          <cell r="CF26">
            <v>21.661147112325999</v>
          </cell>
          <cell r="CG26">
            <v>20.634005809466998</v>
          </cell>
          <cell r="CI26">
            <v>0.14922117936110246</v>
          </cell>
          <cell r="CJ26">
            <v>0.15992509123671783</v>
          </cell>
          <cell r="CK26">
            <v>0.19093815944686021</v>
          </cell>
          <cell r="CL26">
            <v>0.13242461044281573</v>
          </cell>
          <cell r="CM26">
            <v>0.14698769592268834</v>
          </cell>
          <cell r="CN26">
            <v>0.17856488466780474</v>
          </cell>
          <cell r="CO26">
            <v>0.14355322760813549</v>
          </cell>
          <cell r="CP26">
            <v>0.14164464727162729</v>
          </cell>
          <cell r="CQ26">
            <v>0.19847463856021053</v>
          </cell>
        </row>
        <row r="27">
          <cell r="B27" t="str">
            <v>NKE</v>
          </cell>
          <cell r="C27" t="str">
            <v>NIKE, Inc. Class B</v>
          </cell>
          <cell r="D27" t="str">
            <v>Apparel/Footwear</v>
          </cell>
          <cell r="E27">
            <v>1189.3136</v>
          </cell>
          <cell r="F27">
            <v>1479</v>
          </cell>
          <cell r="G27">
            <v>96467.774999999994</v>
          </cell>
          <cell r="H27">
            <v>96415.46</v>
          </cell>
          <cell r="I27">
            <v>8575</v>
          </cell>
          <cell r="J27">
            <v>11061</v>
          </cell>
          <cell r="K27">
            <v>2486</v>
          </cell>
          <cell r="L27">
            <v>98953.774999999994</v>
          </cell>
          <cell r="M27">
            <v>98828.06</v>
          </cell>
          <cell r="O27">
            <v>65.224999999999994</v>
          </cell>
          <cell r="P27">
            <v>53.27</v>
          </cell>
          <cell r="Q27">
            <v>81.72</v>
          </cell>
          <cell r="R27">
            <v>0.79815222711698475</v>
          </cell>
          <cell r="S27">
            <v>60.8</v>
          </cell>
          <cell r="T27">
            <v>74.33</v>
          </cell>
          <cell r="U27">
            <v>60.53</v>
          </cell>
          <cell r="V27">
            <v>7.2779605263157743E-2</v>
          </cell>
          <cell r="W27">
            <v>-0.12249428225480974</v>
          </cell>
          <cell r="X27">
            <v>7.7564843879068146E-2</v>
          </cell>
          <cell r="Z27">
            <v>48668.333334000003</v>
          </cell>
          <cell r="AA27">
            <v>46589.84</v>
          </cell>
          <cell r="AB27">
            <v>48205.46</v>
          </cell>
          <cell r="AC27">
            <v>48066.366999999998</v>
          </cell>
          <cell r="AD27">
            <v>19600</v>
          </cell>
          <cell r="AE27">
            <v>20465.032999999999</v>
          </cell>
          <cell r="AF27">
            <v>3319.3789999999999</v>
          </cell>
          <cell r="AG27">
            <v>3849.4259999999999</v>
          </cell>
          <cell r="AH27">
            <v>5898</v>
          </cell>
          <cell r="AI27">
            <v>4059.652</v>
          </cell>
          <cell r="AJ27">
            <v>4502.7025999999996</v>
          </cell>
          <cell r="AK27">
            <v>4427.7285000000002</v>
          </cell>
          <cell r="AL27">
            <v>858.84076000000005</v>
          </cell>
          <cell r="AM27">
            <v>967.87210000000005</v>
          </cell>
          <cell r="AN27">
            <v>3200.81124</v>
          </cell>
          <cell r="AO27">
            <v>3534.8304999999996</v>
          </cell>
          <cell r="AP27">
            <v>2771.0154000000002</v>
          </cell>
          <cell r="AQ27">
            <v>3153.9762999999998</v>
          </cell>
          <cell r="AR27">
            <v>3085.3766999999998</v>
          </cell>
          <cell r="AS27">
            <v>-4.2707304557478176E-2</v>
          </cell>
          <cell r="AT27">
            <v>3.467751767338112E-2</v>
          </cell>
          <cell r="AU27">
            <v>0.42069258018486438</v>
          </cell>
          <cell r="AV27">
            <v>0.42453765610783506</v>
          </cell>
          <cell r="AW27">
            <v>7.1246842659257903E-2</v>
          </cell>
          <cell r="AX27">
            <v>7.9854564192520933E-2</v>
          </cell>
          <cell r="AY27">
            <v>0.12118763055893718</v>
          </cell>
          <cell r="AZ27">
            <v>8.7135993598604342E-2</v>
          </cell>
          <cell r="BA27">
            <v>9.3406485489403057E-2</v>
          </cell>
          <cell r="BB27">
            <v>6.8701915267363023E-2</v>
          </cell>
          <cell r="BC27">
            <v>7.3328425867111316E-2</v>
          </cell>
          <cell r="BD27">
            <v>5.9476817263162965E-2</v>
          </cell>
          <cell r="BE27">
            <v>6.5427781417291733E-2</v>
          </cell>
          <cell r="BF27">
            <v>3.319811200402923E-2</v>
          </cell>
          <cell r="BG27">
            <v>3.6662486493348675E-2</v>
          </cell>
          <cell r="BI27">
            <v>2.0560750930063012</v>
          </cell>
          <cell r="BJ27">
            <v>2.1212363038808464</v>
          </cell>
          <cell r="BK27">
            <v>2.0501424527429051</v>
          </cell>
          <cell r="BL27">
            <v>5.0422479591836735</v>
          </cell>
          <cell r="BM27">
            <v>4.8291180375814688</v>
          </cell>
          <cell r="BN27">
            <v>29.773056948302681</v>
          </cell>
          <cell r="BO27">
            <v>25.67345365257054</v>
          </cell>
          <cell r="BP27">
            <v>22.32026195824789</v>
          </cell>
          <cell r="BQ27">
            <v>24.343973325792458</v>
          </cell>
          <cell r="BR27">
            <v>21.948609264133946</v>
          </cell>
          <cell r="BS27">
            <v>30.875941312927907</v>
          </cell>
          <cell r="BT27">
            <v>27.958358965161132</v>
          </cell>
          <cell r="BU27">
            <v>31.249169671891284</v>
          </cell>
          <cell r="BV27">
            <v>34.794270721122658</v>
          </cell>
          <cell r="BW27">
            <v>30.569494133484774</v>
          </cell>
          <cell r="BY27">
            <v>2.2493045218254002</v>
          </cell>
          <cell r="BZ27">
            <v>2.4672565825049699</v>
          </cell>
          <cell r="CA27">
            <v>3.3757069407319</v>
          </cell>
          <cell r="CB27">
            <v>24.765418611111102</v>
          </cell>
          <cell r="CC27">
            <v>22.0879193976143</v>
          </cell>
          <cell r="CD27">
            <v>23.609042669848801</v>
          </cell>
          <cell r="CE27">
            <v>33.830632809523799</v>
          </cell>
          <cell r="CF27">
            <v>29.480087860834999</v>
          </cell>
          <cell r="CG27">
            <v>30.964258352426398</v>
          </cell>
          <cell r="CI27">
            <v>-8.5906299900329053E-2</v>
          </cell>
          <cell r="CJ27">
            <v>-0.1666553419754998</v>
          </cell>
          <cell r="CK27">
            <v>-0.39092014528947361</v>
          </cell>
          <cell r="CL27">
            <v>-9.8732700272878948E-2</v>
          </cell>
          <cell r="CM27">
            <v>1.0518988069952995E-2</v>
          </cell>
          <cell r="CN27">
            <v>-5.4588435864314722E-2</v>
          </cell>
          <cell r="CO27">
            <v>-7.6305493668028523E-2</v>
          </cell>
          <cell r="CP27">
            <v>6.0009380548914582E-2</v>
          </cell>
          <cell r="CQ27">
            <v>9.2012964180219203E-3</v>
          </cell>
        </row>
        <row r="28">
          <cell r="B28" t="str">
            <v>ADS-DE</v>
          </cell>
          <cell r="C28" t="str">
            <v>adidas AG</v>
          </cell>
          <cell r="D28" t="str">
            <v>Apparel/Footwear</v>
          </cell>
          <cell r="E28">
            <v>180</v>
          </cell>
          <cell r="F28">
            <v>178.68217054263999</v>
          </cell>
          <cell r="G28">
            <v>33709.928139535703</v>
          </cell>
          <cell r="H28">
            <v>33684.82</v>
          </cell>
          <cell r="I28">
            <v>1210.24995088577</v>
          </cell>
          <cell r="J28">
            <v>6379.0747411251104</v>
          </cell>
          <cell r="K28">
            <v>5168.8247902393405</v>
          </cell>
          <cell r="L28">
            <v>38878.752929775044</v>
          </cell>
          <cell r="M28">
            <v>39326.427911607498</v>
          </cell>
          <cell r="O28">
            <v>188.65860000000001</v>
          </cell>
          <cell r="P28">
            <v>174.36275000000001</v>
          </cell>
          <cell r="Q28">
            <v>274.50537000000003</v>
          </cell>
          <cell r="R28">
            <v>0.68726742941312946</v>
          </cell>
          <cell r="S28">
            <v>182.08832000000001</v>
          </cell>
          <cell r="T28">
            <v>209.69662</v>
          </cell>
          <cell r="U28">
            <v>230.87</v>
          </cell>
          <cell r="V28">
            <v>3.6082929426774824E-2</v>
          </cell>
          <cell r="W28">
            <v>-0.10032598522570368</v>
          </cell>
          <cell r="X28">
            <v>-0.18283622818036127</v>
          </cell>
          <cell r="Z28">
            <v>25617.682938575701</v>
          </cell>
          <cell r="AA28">
            <v>29029.521000000001</v>
          </cell>
          <cell r="AB28">
            <v>31374.826000000001</v>
          </cell>
          <cell r="AC28">
            <v>31239.89</v>
          </cell>
          <cell r="AD28">
            <v>14912.383</v>
          </cell>
          <cell r="AE28">
            <v>16352.509</v>
          </cell>
          <cell r="AF28">
            <v>2370.8726000000001</v>
          </cell>
          <cell r="AG28">
            <v>3208.6147000000001</v>
          </cell>
          <cell r="AH28">
            <v>2617.6917100000001</v>
          </cell>
          <cell r="AI28">
            <v>3743.951</v>
          </cell>
          <cell r="AJ28">
            <v>4671.9813999999997</v>
          </cell>
          <cell r="AK28">
            <v>4618.5879999999997</v>
          </cell>
          <cell r="AL28">
            <v>703.88495</v>
          </cell>
          <cell r="AM28">
            <v>768.69569999999999</v>
          </cell>
          <cell r="AN28">
            <v>3040.0660499999999</v>
          </cell>
          <cell r="AO28">
            <v>3903.2856999999995</v>
          </cell>
          <cell r="AP28">
            <v>1581.7248999999999</v>
          </cell>
          <cell r="AQ28">
            <v>2246.9868000000001</v>
          </cell>
          <cell r="AR28">
            <v>2208.7114000000001</v>
          </cell>
          <cell r="AS28">
            <v>0.13318292952586575</v>
          </cell>
          <cell r="AT28">
            <v>8.0790344422148719E-2</v>
          </cell>
          <cell r="AU28">
            <v>0.51369717743534249</v>
          </cell>
          <cell r="AV28">
            <v>0.52119839644688382</v>
          </cell>
          <cell r="AW28">
            <v>8.1671089233611535E-2</v>
          </cell>
          <cell r="AX28">
            <v>0.10226717113905269</v>
          </cell>
          <cell r="AY28">
            <v>0.10218300055772098</v>
          </cell>
          <cell r="AZ28">
            <v>0.12897047112833862</v>
          </cell>
          <cell r="BA28">
            <v>0.1489085995249822</v>
          </cell>
          <cell r="BB28">
            <v>0.10472325912645958</v>
          </cell>
          <cell r="BC28">
            <v>0.12440820229568761</v>
          </cell>
          <cell r="BD28">
            <v>5.4486772275712018E-2</v>
          </cell>
          <cell r="BE28">
            <v>7.1617506340911657E-2</v>
          </cell>
          <cell r="BF28">
            <v>9.0250327892504686E-2</v>
          </cell>
          <cell r="BG28">
            <v>0.11587669757475325</v>
          </cell>
          <cell r="BI28">
            <v>1.2588529572801792</v>
          </cell>
          <cell r="BJ28">
            <v>1.3547046784412149</v>
          </cell>
          <cell r="BK28">
            <v>1.2534389166527169</v>
          </cell>
          <cell r="BL28">
            <v>2.6371658984085573</v>
          </cell>
          <cell r="BM28">
            <v>2.4049170626726148</v>
          </cell>
          <cell r="BN28">
            <v>16.58732228446501</v>
          </cell>
          <cell r="BO28">
            <v>12.256513040224959</v>
          </cell>
          <cell r="BP28">
            <v>8.5148161974195364</v>
          </cell>
          <cell r="BQ28">
            <v>10.503991080975018</v>
          </cell>
          <cell r="BR28">
            <v>8.417505239127772</v>
          </cell>
          <cell r="BS28">
            <v>12.936043909837913</v>
          </cell>
          <cell r="BT28">
            <v>10.07521122822434</v>
          </cell>
          <cell r="BU28">
            <v>15.250892443440097</v>
          </cell>
          <cell r="BV28">
            <v>21.296257016627859</v>
          </cell>
          <cell r="BW28">
            <v>14.991107201875863</v>
          </cell>
          <cell r="BY28">
            <v>1.5399133074509801</v>
          </cell>
          <cell r="BZ28">
            <v>1.6568309121568601</v>
          </cell>
          <cell r="CA28">
            <v>1.78958052339859</v>
          </cell>
          <cell r="CB28">
            <v>11.3317943901961</v>
          </cell>
          <cell r="CC28">
            <v>13.8974561588235</v>
          </cell>
          <cell r="CD28">
            <v>14.910675936570099</v>
          </cell>
          <cell r="CE28">
            <v>22.7790884137255</v>
          </cell>
          <cell r="CF28">
            <v>32.635909559803899</v>
          </cell>
          <cell r="CG28">
            <v>80.5004398008994</v>
          </cell>
          <cell r="CI28">
            <v>-0.18251699547686895</v>
          </cell>
          <cell r="CJ28">
            <v>-0.24020432740393149</v>
          </cell>
          <cell r="CK28">
            <v>-0.29656534544224178</v>
          </cell>
          <cell r="CL28">
            <v>-0.2485906552640702</v>
          </cell>
          <cell r="CM28">
            <v>-0.38731116687038614</v>
          </cell>
          <cell r="CN28">
            <v>-0.42894498990914298</v>
          </cell>
          <cell r="CO28">
            <v>-0.3304871482806705</v>
          </cell>
          <cell r="CP28">
            <v>-0.53269595825133986</v>
          </cell>
          <cell r="CQ28">
            <v>-0.81054895499751412</v>
          </cell>
        </row>
        <row r="29">
          <cell r="B29" t="str">
            <v>PUM-DE</v>
          </cell>
          <cell r="C29" t="str">
            <v>PUMA SE</v>
          </cell>
          <cell r="D29" t="str">
            <v>Apparel/Footwear</v>
          </cell>
          <cell r="E29">
            <v>148.00792000000001</v>
          </cell>
          <cell r="F29">
            <v>147.47</v>
          </cell>
          <cell r="G29">
            <v>3476.6123285599997</v>
          </cell>
          <cell r="H29">
            <v>3428.9072000000001</v>
          </cell>
          <cell r="I29">
            <v>311.37498736381502</v>
          </cell>
          <cell r="J29">
            <v>3188.1273706197699</v>
          </cell>
          <cell r="K29">
            <v>2876.752383255955</v>
          </cell>
          <cell r="L29">
            <v>6353.3647118159552</v>
          </cell>
          <cell r="M29">
            <v>6353.3647118159597</v>
          </cell>
          <cell r="O29">
            <v>23.575047999999999</v>
          </cell>
          <cell r="P29">
            <v>17.899982000000001</v>
          </cell>
          <cell r="Q29">
            <v>49.206851999999998</v>
          </cell>
          <cell r="R29">
            <v>0.47910091870945126</v>
          </cell>
          <cell r="S29">
            <v>18.728421999999998</v>
          </cell>
          <cell r="T29">
            <v>22.277338</v>
          </cell>
          <cell r="U29">
            <v>24.379871000000001</v>
          </cell>
          <cell r="V29">
            <v>0.25878453614511687</v>
          </cell>
          <cell r="W29">
            <v>5.825247163732028E-2</v>
          </cell>
          <cell r="X29">
            <v>-3.30117825479882E-2</v>
          </cell>
          <cell r="Z29">
            <v>9537.4840183258093</v>
          </cell>
          <cell r="AA29">
            <v>8638.9220000000005</v>
          </cell>
          <cell r="AB29">
            <v>8373.6049999999996</v>
          </cell>
          <cell r="AC29">
            <v>8388.8700000000008</v>
          </cell>
          <cell r="AD29">
            <v>3889.1194</v>
          </cell>
          <cell r="AE29">
            <v>3854.9713999999999</v>
          </cell>
          <cell r="AF29">
            <v>-212.292</v>
          </cell>
          <cell r="AG29">
            <v>18.561668000000001</v>
          </cell>
          <cell r="AH29">
            <v>1014.8423</v>
          </cell>
          <cell r="AI29">
            <v>309.08240000000001</v>
          </cell>
          <cell r="AJ29">
            <v>416.50806</v>
          </cell>
          <cell r="AK29">
            <v>410.32740000000001</v>
          </cell>
          <cell r="AL29">
            <v>295.77050000000003</v>
          </cell>
          <cell r="AM29">
            <v>260.6628</v>
          </cell>
          <cell r="AN29">
            <v>13.31189999999998</v>
          </cell>
          <cell r="AO29">
            <v>155.84526</v>
          </cell>
          <cell r="AP29">
            <v>-589.85155999999995</v>
          </cell>
          <cell r="AQ29">
            <v>-174.96025</v>
          </cell>
          <cell r="AR29">
            <v>-198.83070000000001</v>
          </cell>
          <cell r="AS29">
            <v>-9.4213737773952366E-2</v>
          </cell>
          <cell r="AT29">
            <v>-3.0711817979141465E-2</v>
          </cell>
          <cell r="AU29">
            <v>0.4501857291916746</v>
          </cell>
          <cell r="AV29">
            <v>0.46037177535840301</v>
          </cell>
          <cell r="AW29">
            <v>-2.4573899382353492E-2</v>
          </cell>
          <cell r="AX29">
            <v>2.2166877945639903E-3</v>
          </cell>
          <cell r="AY29">
            <v>0.10640566191775841</v>
          </cell>
          <cell r="AZ29">
            <v>3.5777889880242005E-2</v>
          </cell>
          <cell r="BA29">
            <v>4.9740590820799409E-2</v>
          </cell>
          <cell r="BB29">
            <v>1.5409214251500337E-3</v>
          </cell>
          <cell r="BC29">
            <v>1.8611489316727983E-2</v>
          </cell>
          <cell r="BD29">
            <v>-6.8278375473236119E-2</v>
          </cell>
          <cell r="BE29">
            <v>-2.0894256416441905E-2</v>
          </cell>
          <cell r="BF29">
            <v>3.8822572976019822E-3</v>
          </cell>
          <cell r="BG29">
            <v>4.5450416389221614E-2</v>
          </cell>
          <cell r="BI29">
            <v>0.7573564391647456</v>
          </cell>
          <cell r="BJ29">
            <v>0.73543489706423548</v>
          </cell>
          <cell r="BK29">
            <v>0.75873709254448474</v>
          </cell>
          <cell r="BL29">
            <v>1.6336255224809915</v>
          </cell>
          <cell r="BM29">
            <v>1.6480964584629498</v>
          </cell>
          <cell r="BN29" t="str">
            <v>--</v>
          </cell>
          <cell r="BO29" t="str">
            <v>--</v>
          </cell>
          <cell r="BP29">
            <v>15.483647233443245</v>
          </cell>
          <cell r="BQ29">
            <v>20.555569362137604</v>
          </cell>
          <cell r="BR29">
            <v>15.253881789984952</v>
          </cell>
          <cell r="BS29" t="str">
            <v>--</v>
          </cell>
          <cell r="BT29">
            <v>40.767134732336167</v>
          </cell>
          <cell r="BU29" t="str">
            <v>--</v>
          </cell>
          <cell r="BV29" t="str">
            <v>--</v>
          </cell>
          <cell r="BW29" t="str">
            <v>--</v>
          </cell>
          <cell r="BY29">
            <v>0.66802261690196096</v>
          </cell>
          <cell r="BZ29">
            <v>0.77112837041176396</v>
          </cell>
          <cell r="CA29">
            <v>1.2348282372200501</v>
          </cell>
          <cell r="CB29">
            <v>8.5074246878431392</v>
          </cell>
          <cell r="CC29">
            <v>7.95063604392156</v>
          </cell>
          <cell r="CD29">
            <v>10.6164076245106</v>
          </cell>
          <cell r="CE29">
            <v>16.589485768987402</v>
          </cell>
          <cell r="CF29">
            <v>16.317839187651298</v>
          </cell>
          <cell r="CG29">
            <v>24.317699024152599</v>
          </cell>
          <cell r="CI29">
            <v>0.13372873912126138</v>
          </cell>
          <cell r="CJ29">
            <v>-1.7859453465140285E-2</v>
          </cell>
          <cell r="CK29">
            <v>-0.38667061836084138</v>
          </cell>
          <cell r="CL29">
            <v>0.82001578639525574</v>
          </cell>
          <cell r="CM29">
            <v>0.94747277424185961</v>
          </cell>
          <cell r="CN29">
            <v>0.45846389674181487</v>
          </cell>
          <cell r="CO29" t="str">
            <v>--</v>
          </cell>
          <cell r="CP29" t="str">
            <v>--</v>
          </cell>
          <cell r="CQ29" t="str">
            <v>--</v>
          </cell>
        </row>
        <row r="30">
          <cell r="B30" t="str">
            <v>UAA</v>
          </cell>
          <cell r="C30" t="str">
            <v>Under Armour, Inc. Class A</v>
          </cell>
          <cell r="D30" t="str">
            <v>Apparel/Footwear</v>
          </cell>
          <cell r="E30">
            <v>188.83438000000001</v>
          </cell>
          <cell r="F30">
            <v>428.35</v>
          </cell>
          <cell r="G30">
            <v>1884.7400000000002</v>
          </cell>
          <cell r="H30">
            <v>1865.1116999999999</v>
          </cell>
          <cell r="I30">
            <v>1003.836</v>
          </cell>
          <cell r="J30">
            <v>1899.7819999999999</v>
          </cell>
          <cell r="K30">
            <v>895.94599999999991</v>
          </cell>
          <cell r="L30">
            <v>2780.6860000000001</v>
          </cell>
          <cell r="M30">
            <v>2789.2530000000002</v>
          </cell>
          <cell r="O30">
            <v>4.4000000000000004</v>
          </cell>
          <cell r="P30">
            <v>4.17</v>
          </cell>
          <cell r="Q30">
            <v>10.3</v>
          </cell>
          <cell r="R30">
            <v>0.42718446601941751</v>
          </cell>
          <cell r="S30">
            <v>4.4800000000000004</v>
          </cell>
          <cell r="T30">
            <v>5.03</v>
          </cell>
          <cell r="U30">
            <v>6.6</v>
          </cell>
          <cell r="V30">
            <v>-1.7857142857142905E-2</v>
          </cell>
          <cell r="W30">
            <v>-0.125248508946322</v>
          </cell>
          <cell r="X30">
            <v>-0.33333333333333326</v>
          </cell>
          <cell r="Z30">
            <v>5321.1239999999998</v>
          </cell>
          <cell r="AA30">
            <v>4995.8783999999996</v>
          </cell>
          <cell r="AB30">
            <v>4998.4620000000004</v>
          </cell>
          <cell r="AC30">
            <v>4994.0550000000003</v>
          </cell>
          <cell r="AD30">
            <v>2318.8854999999999</v>
          </cell>
          <cell r="AE30">
            <v>2302.4202</v>
          </cell>
          <cell r="AF30">
            <v>121.17310000000001</v>
          </cell>
          <cell r="AG30">
            <v>137.77109999999999</v>
          </cell>
          <cell r="AH30">
            <v>368.83300000000003</v>
          </cell>
          <cell r="AI30">
            <v>246.43343999999999</v>
          </cell>
          <cell r="AJ30">
            <v>259.16565000000003</v>
          </cell>
          <cell r="AK30">
            <v>256.01391999999998</v>
          </cell>
          <cell r="AL30">
            <v>145.90646000000001</v>
          </cell>
          <cell r="AM30">
            <v>158.00291000000001</v>
          </cell>
          <cell r="AN30">
            <v>100.52697999999998</v>
          </cell>
          <cell r="AO30">
            <v>101.16274000000001</v>
          </cell>
          <cell r="AP30">
            <v>48.909190000000002</v>
          </cell>
          <cell r="AQ30">
            <v>70.7988</v>
          </cell>
          <cell r="AR30">
            <v>66.973969999999994</v>
          </cell>
          <cell r="AS30">
            <v>-6.1123476919538122E-2</v>
          </cell>
          <cell r="AT30">
            <v>5.1714629403321055E-4</v>
          </cell>
          <cell r="AU30">
            <v>0.46415971613720625</v>
          </cell>
          <cell r="AV30">
            <v>0.46062572847407857</v>
          </cell>
          <cell r="AW30">
            <v>2.4254613563052297E-2</v>
          </cell>
          <cell r="AX30">
            <v>2.7562698285992768E-2</v>
          </cell>
          <cell r="AY30">
            <v>6.9314866558268518E-2</v>
          </cell>
          <cell r="AZ30">
            <v>4.9327349520756951E-2</v>
          </cell>
          <cell r="BA30">
            <v>5.1849078776631696E-2</v>
          </cell>
          <cell r="BB30">
            <v>2.0121982952987803E-2</v>
          </cell>
          <cell r="BC30">
            <v>2.023877344671221E-2</v>
          </cell>
          <cell r="BD30">
            <v>9.7899080169765555E-3</v>
          </cell>
          <cell r="BE30">
            <v>1.4164116882353011E-2</v>
          </cell>
          <cell r="BF30">
            <v>5.3898637813488588E-2</v>
          </cell>
          <cell r="BG30">
            <v>5.4239507478292058E-2</v>
          </cell>
          <cell r="BI30">
            <v>0.55851467394732335</v>
          </cell>
          <cell r="BJ30">
            <v>0.55831082678073196</v>
          </cell>
          <cell r="BK30">
            <v>0.55802224764337505</v>
          </cell>
          <cell r="BL30">
            <v>1.202842054944067</v>
          </cell>
          <cell r="BM30">
            <v>1.211443940597811</v>
          </cell>
          <cell r="BN30">
            <v>23.018747560308352</v>
          </cell>
          <cell r="BO30">
            <v>20.245559482358786</v>
          </cell>
          <cell r="BP30">
            <v>10.894927119587873</v>
          </cell>
          <cell r="BQ30">
            <v>11.318484212207565</v>
          </cell>
          <cell r="BR30">
            <v>10.762433215975959</v>
          </cell>
          <cell r="BS30">
            <v>27.746312482479834</v>
          </cell>
          <cell r="BT30">
            <v>27.571940024558447</v>
          </cell>
          <cell r="BU30">
            <v>27.8483073349243</v>
          </cell>
          <cell r="BV30">
            <v>38.134176828526499</v>
          </cell>
          <cell r="BW30">
            <v>26.343832098849131</v>
          </cell>
          <cell r="BY30">
            <v>0.67725532285714296</v>
          </cell>
          <cell r="BZ30">
            <v>0.70935697262425501</v>
          </cell>
          <cell r="CA30">
            <v>1.03735547996022</v>
          </cell>
          <cell r="CB30">
            <v>11.0311215436508</v>
          </cell>
          <cell r="CC30">
            <v>10.847941232803199</v>
          </cell>
          <cell r="CD30">
            <v>13.367881953778801</v>
          </cell>
          <cell r="CE30">
            <v>24.093956047618999</v>
          </cell>
          <cell r="CF30">
            <v>22.8487683976143</v>
          </cell>
          <cell r="CG30">
            <v>75.639514866100299</v>
          </cell>
          <cell r="CI30">
            <v>-0.17532626898949633</v>
          </cell>
          <cell r="CJ30">
            <v>-0.21264652988310373</v>
          </cell>
          <cell r="CK30">
            <v>-0.46159760589615728</v>
          </cell>
          <cell r="CL30">
            <v>-1.2346380512987531E-2</v>
          </cell>
          <cell r="CM30">
            <v>4.3313183373996367E-3</v>
          </cell>
          <cell r="CN30">
            <v>-0.1849922704839474</v>
          </cell>
          <cell r="CO30">
            <v>0.15582128895251768</v>
          </cell>
          <cell r="CP30">
            <v>0.21880999668376067</v>
          </cell>
          <cell r="CQ30">
            <v>-0.6318285834563806</v>
          </cell>
        </row>
        <row r="31">
          <cell r="B31" t="str">
            <v>UNH</v>
          </cell>
          <cell r="C31" t="str">
            <v>UnitedHealth Group Incorporated</v>
          </cell>
          <cell r="D31" t="str">
            <v>Managed Health Care</v>
          </cell>
          <cell r="E31">
            <v>905.83860000000004</v>
          </cell>
          <cell r="F31">
            <v>908</v>
          </cell>
          <cell r="G31">
            <v>295081.74919999996</v>
          </cell>
          <cell r="H31">
            <v>294379.46999999997</v>
          </cell>
          <cell r="I31" t="e">
            <v>#N/A</v>
          </cell>
          <cell r="J31">
            <v>80136</v>
          </cell>
          <cell r="K31" t="e">
            <v>#N/A</v>
          </cell>
          <cell r="L31" t="e">
            <v>#N/A</v>
          </cell>
          <cell r="M31">
            <v>357775.06</v>
          </cell>
          <cell r="O31">
            <v>324.97989999999999</v>
          </cell>
          <cell r="P31">
            <v>237.77</v>
          </cell>
          <cell r="Q31">
            <v>599.47</v>
          </cell>
          <cell r="R31">
            <v>0.542112032295194</v>
          </cell>
          <cell r="S31">
            <v>321.58</v>
          </cell>
          <cell r="T31">
            <v>353.61</v>
          </cell>
          <cell r="U31">
            <v>313.52999999999997</v>
          </cell>
          <cell r="V31">
            <v>1.0572485851110258E-2</v>
          </cell>
          <cell r="W31">
            <v>-8.0965187636096392E-2</v>
          </cell>
          <cell r="X31">
            <v>3.6519312346505961E-2</v>
          </cell>
          <cell r="Z31">
            <v>400278</v>
          </cell>
          <cell r="AA31">
            <v>447439.7</v>
          </cell>
          <cell r="AB31">
            <v>453200.7</v>
          </cell>
          <cell r="AC31">
            <v>452869.22</v>
          </cell>
          <cell r="AD31">
            <v>82192</v>
          </cell>
          <cell r="AE31">
            <v>84958</v>
          </cell>
          <cell r="AF31">
            <v>22264.53</v>
          </cell>
          <cell r="AG31">
            <v>24113.84</v>
          </cell>
          <cell r="AH31">
            <v>38280.112999999998</v>
          </cell>
          <cell r="AI31">
            <v>26429.491999999998</v>
          </cell>
          <cell r="AJ31">
            <v>28395.455000000002</v>
          </cell>
          <cell r="AK31">
            <v>28282.344000000001</v>
          </cell>
          <cell r="AL31">
            <v>3689.4956000000002</v>
          </cell>
          <cell r="AM31">
            <v>3906.1732999999999</v>
          </cell>
          <cell r="AN31">
            <v>22739.996399999996</v>
          </cell>
          <cell r="AO31">
            <v>24489.281700000003</v>
          </cell>
          <cell r="AP31">
            <v>14025.509</v>
          </cell>
          <cell r="AQ31">
            <v>15338.258</v>
          </cell>
          <cell r="AR31">
            <v>15262.729499999999</v>
          </cell>
          <cell r="AS31">
            <v>0.11782236345739716</v>
          </cell>
          <cell r="AT31">
            <v>1.2875477969433557E-2</v>
          </cell>
          <cell r="AU31">
            <v>0.18369402625649892</v>
          </cell>
          <cell r="AV31">
            <v>0.18746219941849163</v>
          </cell>
          <cell r="AW31">
            <v>4.9759844734385432E-2</v>
          </cell>
          <cell r="AX31">
            <v>5.320786132942866E-2</v>
          </cell>
          <cell r="AY31">
            <v>9.5633816997186955E-2</v>
          </cell>
          <cell r="AZ31">
            <v>5.9068276686221624E-2</v>
          </cell>
          <cell r="BA31">
            <v>6.2655364389331267E-2</v>
          </cell>
          <cell r="BB31">
            <v>5.0822482671966741E-2</v>
          </cell>
          <cell r="BC31">
            <v>5.4036283924539401E-2</v>
          </cell>
          <cell r="BD31">
            <v>3.1346143402116527E-2</v>
          </cell>
          <cell r="BE31">
            <v>3.3844294591777992E-2</v>
          </cell>
          <cell r="BF31">
            <v>7.7247222437080945E-2</v>
          </cell>
          <cell r="BG31">
            <v>8.3189502651119004E-2</v>
          </cell>
          <cell r="BI31">
            <v>0.79001849584743256</v>
          </cell>
          <cell r="BJ31">
            <v>0.79960508645075523</v>
          </cell>
          <cell r="BK31">
            <v>0.7894406606168084</v>
          </cell>
          <cell r="BL31">
            <v>4.3529182888845632</v>
          </cell>
          <cell r="BM31">
            <v>4.2111991807716755</v>
          </cell>
          <cell r="BN31">
            <v>16.06928419328861</v>
          </cell>
          <cell r="BO31">
            <v>14.836917720280137</v>
          </cell>
          <cell r="BP31">
            <v>12.650120513349247</v>
          </cell>
          <cell r="BQ31">
            <v>13.536963177347488</v>
          </cell>
          <cell r="BR31">
            <v>12.599729780699057</v>
          </cell>
          <cell r="BS31">
            <v>15.733294487240995</v>
          </cell>
          <cell r="BT31">
            <v>14.609455041713206</v>
          </cell>
          <cell r="BU31">
            <v>19.287472139239576</v>
          </cell>
          <cell r="BV31">
            <v>20.988861794605814</v>
          </cell>
          <cell r="BW31">
            <v>19.19249695760757</v>
          </cell>
          <cell r="BY31">
            <v>0.92708099876984096</v>
          </cell>
          <cell r="BZ31">
            <v>1.1295199695626199</v>
          </cell>
          <cell r="CA31">
            <v>1.3108267957756601</v>
          </cell>
          <cell r="CB31">
            <v>12.034964160714299</v>
          </cell>
          <cell r="CC31">
            <v>12.665101640159101</v>
          </cell>
          <cell r="CD31">
            <v>13.8980336583134</v>
          </cell>
          <cell r="CE31">
            <v>16.593439406746</v>
          </cell>
          <cell r="CF31">
            <v>17.477892116302201</v>
          </cell>
          <cell r="CG31">
            <v>19.175907999602199</v>
          </cell>
          <cell r="CI31">
            <v>-0.14784307207706648</v>
          </cell>
          <cell r="CJ31">
            <v>-0.30057146652011058</v>
          </cell>
          <cell r="CK31">
            <v>-0.3973128269933236</v>
          </cell>
          <cell r="CL31">
            <v>5.1114099254487178E-2</v>
          </cell>
          <cell r="CM31">
            <v>-1.1828666863873405E-3</v>
          </cell>
          <cell r="CN31">
            <v>-8.9790626188164913E-2</v>
          </cell>
          <cell r="CO31">
            <v>0.16235529394818093</v>
          </cell>
          <cell r="CP31">
            <v>0.10353536976289734</v>
          </cell>
          <cell r="CQ31">
            <v>5.8179325662017778E-3</v>
          </cell>
        </row>
        <row r="32">
          <cell r="B32" t="str">
            <v>ELV</v>
          </cell>
          <cell r="C32" t="str">
            <v>Elevance Health, Inc.</v>
          </cell>
          <cell r="D32" t="str">
            <v>Managed Health Care</v>
          </cell>
          <cell r="E32">
            <v>222.23876999999999</v>
          </cell>
          <cell r="F32">
            <v>223.7</v>
          </cell>
          <cell r="G32">
            <v>74720.27399999999</v>
          </cell>
          <cell r="H32">
            <v>74232.266000000003</v>
          </cell>
          <cell r="I32" t="e">
            <v>#N/A</v>
          </cell>
          <cell r="J32">
            <v>32102</v>
          </cell>
          <cell r="K32" t="e">
            <v>#N/A</v>
          </cell>
          <cell r="L32" t="e">
            <v>#N/A</v>
          </cell>
          <cell r="M32">
            <v>97969.834000000003</v>
          </cell>
          <cell r="O32">
            <v>334.02</v>
          </cell>
          <cell r="P32">
            <v>274.66000000000003</v>
          </cell>
          <cell r="Q32">
            <v>452.69</v>
          </cell>
          <cell r="R32">
            <v>0.73785592789767829</v>
          </cell>
          <cell r="S32">
            <v>303.77999999999997</v>
          </cell>
          <cell r="T32">
            <v>314.89</v>
          </cell>
          <cell r="U32">
            <v>384.55</v>
          </cell>
          <cell r="V32">
            <v>9.9545723879123083E-2</v>
          </cell>
          <cell r="W32">
            <v>6.07513734955063E-2</v>
          </cell>
          <cell r="X32">
            <v>-0.13140033805746987</v>
          </cell>
          <cell r="Z32">
            <v>176810</v>
          </cell>
          <cell r="AA32">
            <v>198536.66</v>
          </cell>
          <cell r="AB32">
            <v>205688.6</v>
          </cell>
          <cell r="AC32">
            <v>205277.13</v>
          </cell>
          <cell r="AD32">
            <v>49995</v>
          </cell>
          <cell r="AE32">
            <v>50126</v>
          </cell>
          <cell r="AF32">
            <v>8437.6049999999996</v>
          </cell>
          <cell r="AG32">
            <v>8105.2560000000003</v>
          </cell>
          <cell r="AH32">
            <v>10738.832</v>
          </cell>
          <cell r="AI32">
            <v>10013.77</v>
          </cell>
          <cell r="AJ32">
            <v>9373.1875</v>
          </cell>
          <cell r="AK32">
            <v>9410.0429999999997</v>
          </cell>
          <cell r="AL32">
            <v>-1161.9648</v>
          </cell>
          <cell r="AM32">
            <v>1366.69</v>
          </cell>
          <cell r="AN32">
            <v>11175.7348</v>
          </cell>
          <cell r="AO32">
            <v>8006.4974999999995</v>
          </cell>
          <cell r="AP32">
            <v>6754.9629999999997</v>
          </cell>
          <cell r="AQ32">
            <v>5776.7744000000002</v>
          </cell>
          <cell r="AR32">
            <v>5833.0537000000004</v>
          </cell>
          <cell r="AS32">
            <v>0.12288139811096666</v>
          </cell>
          <cell r="AT32">
            <v>3.6023271470367213E-2</v>
          </cell>
          <cell r="AU32">
            <v>0.25181747290399664</v>
          </cell>
          <cell r="AV32">
            <v>0.24369848401904626</v>
          </cell>
          <cell r="AW32">
            <v>4.2498977266969232E-2</v>
          </cell>
          <cell r="AX32">
            <v>3.9405470210794373E-2</v>
          </cell>
          <cell r="AY32">
            <v>6.0736564673943783E-2</v>
          </cell>
          <cell r="AZ32">
            <v>5.0437888901727269E-2</v>
          </cell>
          <cell r="BA32">
            <v>4.5569795798114238E-2</v>
          </cell>
          <cell r="BB32">
            <v>5.6290534957120768E-2</v>
          </cell>
          <cell r="BC32">
            <v>3.8925334218814264E-2</v>
          </cell>
          <cell r="BD32">
            <v>3.4023756620062004E-2</v>
          </cell>
          <cell r="BE32">
            <v>2.8085048952640058E-2</v>
          </cell>
          <cell r="BF32">
            <v>0.15055090464300255</v>
          </cell>
          <cell r="BG32">
            <v>0.10785737700638155</v>
          </cell>
          <cell r="BI32">
            <v>0.47725644839247316</v>
          </cell>
          <cell r="BJ32">
            <v>0.49345966634071514</v>
          </cell>
          <cell r="BK32">
            <v>0.47630172017311606</v>
          </cell>
          <cell r="BL32">
            <v>1.9595926392639265</v>
          </cell>
          <cell r="BM32">
            <v>1.9544714120416551</v>
          </cell>
          <cell r="BN32">
            <v>11.611095091557379</v>
          </cell>
          <cell r="BO32">
            <v>12.087197986096923</v>
          </cell>
          <cell r="BP32">
            <v>10.411199396219549</v>
          </cell>
          <cell r="BQ32">
            <v>9.7835115046580849</v>
          </cell>
          <cell r="BR32">
            <v>10.45213637303212</v>
          </cell>
          <cell r="BS32">
            <v>8.7662991072408047</v>
          </cell>
          <cell r="BT32">
            <v>12.236291087332509</v>
          </cell>
          <cell r="BU32">
            <v>12.726141369142546</v>
          </cell>
          <cell r="BV32">
            <v>10.989292761485149</v>
          </cell>
          <cell r="BW32">
            <v>12.850123764570069</v>
          </cell>
          <cell r="BY32">
            <v>0.53071366130952402</v>
          </cell>
          <cell r="BZ32">
            <v>0.65031478433399603</v>
          </cell>
          <cell r="CA32">
            <v>0.73584112252187694</v>
          </cell>
          <cell r="CB32">
            <v>9.3896113678571496</v>
          </cell>
          <cell r="CC32">
            <v>10.016413641550701</v>
          </cell>
          <cell r="CD32">
            <v>10.874775236833701</v>
          </cell>
          <cell r="CE32">
            <v>10.9247520138889</v>
          </cell>
          <cell r="CF32">
            <v>11.9960533846918</v>
          </cell>
          <cell r="CG32">
            <v>13.416659566428001</v>
          </cell>
          <cell r="CI32">
            <v>-0.10072703383053372</v>
          </cell>
          <cell r="CJ32">
            <v>-0.26611471876463078</v>
          </cell>
          <cell r="CK32">
            <v>-0.3514137307835985</v>
          </cell>
          <cell r="CL32">
            <v>0.1087998201778122</v>
          </cell>
          <cell r="CM32">
            <v>3.9413882932227695E-2</v>
          </cell>
          <cell r="CN32">
            <v>-4.2628544546280289E-2</v>
          </cell>
          <cell r="CO32">
            <v>0.16489064035169831</v>
          </cell>
          <cell r="CP32">
            <v>6.0860681512339143E-2</v>
          </cell>
          <cell r="CQ32">
            <v>-5.1467222065715412E-2</v>
          </cell>
        </row>
        <row r="33">
          <cell r="B33" t="str">
            <v>CI</v>
          </cell>
          <cell r="C33" t="str">
            <v>Cigna Group</v>
          </cell>
          <cell r="D33" t="str">
            <v>Managed Health Care</v>
          </cell>
          <cell r="E33">
            <v>267.12581999999998</v>
          </cell>
          <cell r="F33">
            <v>267.52999999999997</v>
          </cell>
          <cell r="G33">
            <v>70338.987599999993</v>
          </cell>
          <cell r="H33">
            <v>70232.77</v>
          </cell>
          <cell r="I33" t="e">
            <v>#N/A</v>
          </cell>
          <cell r="J33">
            <v>34040</v>
          </cell>
          <cell r="K33" t="e">
            <v>#N/A</v>
          </cell>
          <cell r="L33" t="e">
            <v>#N/A</v>
          </cell>
          <cell r="M33">
            <v>98777.038352999996</v>
          </cell>
          <cell r="O33">
            <v>262.92</v>
          </cell>
          <cell r="P33">
            <v>244.41</v>
          </cell>
          <cell r="Q33">
            <v>340.04</v>
          </cell>
          <cell r="R33">
            <v>0.77320315257028582</v>
          </cell>
          <cell r="S33">
            <v>258.16000000000003</v>
          </cell>
          <cell r="T33">
            <v>305.87</v>
          </cell>
          <cell r="U33">
            <v>317.39999999999998</v>
          </cell>
          <cell r="V33">
            <v>1.8438177874186445E-2</v>
          </cell>
          <cell r="W33">
            <v>-0.14041913231111247</v>
          </cell>
          <cell r="X33">
            <v>-0.17164461247637042</v>
          </cell>
          <cell r="Z33">
            <v>244384</v>
          </cell>
          <cell r="AA33">
            <v>272147.09999999998</v>
          </cell>
          <cell r="AB33">
            <v>285766.8</v>
          </cell>
          <cell r="AC33">
            <v>284983.21999999997</v>
          </cell>
          <cell r="AD33">
            <v>14443</v>
          </cell>
          <cell r="AE33">
            <v>14661</v>
          </cell>
          <cell r="AF33">
            <v>9697.866</v>
          </cell>
          <cell r="AG33">
            <v>9918.5969999999998</v>
          </cell>
          <cell r="AH33">
            <v>13011.37</v>
          </cell>
          <cell r="AI33">
            <v>12634.776</v>
          </cell>
          <cell r="AJ33">
            <v>12766.132</v>
          </cell>
          <cell r="AK33">
            <v>12758.574000000001</v>
          </cell>
          <cell r="AL33">
            <v>1229.3334</v>
          </cell>
          <cell r="AM33">
            <v>1386.1666</v>
          </cell>
          <cell r="AN33">
            <v>11405.4426</v>
          </cell>
          <cell r="AO33">
            <v>11379.965399999999</v>
          </cell>
          <cell r="AP33">
            <v>7939.6390000000001</v>
          </cell>
          <cell r="AQ33">
            <v>7906.6090000000004</v>
          </cell>
          <cell r="AR33">
            <v>7908.5092999999997</v>
          </cell>
          <cell r="AS33">
            <v>0.11360440945397388</v>
          </cell>
          <cell r="AT33">
            <v>5.0045361497513818E-2</v>
          </cell>
          <cell r="AU33">
            <v>5.3070563676776275E-2</v>
          </cell>
          <cell r="AV33">
            <v>5.1304070311876677E-2</v>
          </cell>
          <cell r="AW33">
            <v>3.5634647585809295E-2</v>
          </cell>
          <cell r="AX33">
            <v>3.4708710039094814E-2</v>
          </cell>
          <cell r="AY33">
            <v>5.324149698834621E-2</v>
          </cell>
          <cell r="AZ33">
            <v>4.6426274613986337E-2</v>
          </cell>
          <cell r="BA33">
            <v>4.4673251056455823E-2</v>
          </cell>
          <cell r="BB33">
            <v>4.1909109448529859E-2</v>
          </cell>
          <cell r="BC33">
            <v>3.9822559513561409E-2</v>
          </cell>
          <cell r="BD33">
            <v>2.9174071669328831E-2</v>
          </cell>
          <cell r="BE33">
            <v>2.7668046113124411E-2</v>
          </cell>
          <cell r="BF33">
            <v>0.1623948848949002</v>
          </cell>
          <cell r="BG33">
            <v>0.16203213115473017</v>
          </cell>
          <cell r="BI33">
            <v>0.34660650670239462</v>
          </cell>
          <cell r="BJ33">
            <v>0.36295458725446644</v>
          </cell>
          <cell r="BK33">
            <v>0.34565610264383406</v>
          </cell>
          <cell r="BL33">
            <v>6.8390942569410784</v>
          </cell>
          <cell r="BM33">
            <v>6.7374011563331289</v>
          </cell>
          <cell r="BN33">
            <v>10.185440627144157</v>
          </cell>
          <cell r="BO33">
            <v>9.9587712206676002</v>
          </cell>
          <cell r="BP33">
            <v>7.7420124187076071</v>
          </cell>
          <cell r="BQ33">
            <v>7.8178701666733144</v>
          </cell>
          <cell r="BR33">
            <v>7.7374288745408553</v>
          </cell>
          <cell r="BS33">
            <v>8.66051777359346</v>
          </cell>
          <cell r="BT33">
            <v>8.6799067379414012</v>
          </cell>
          <cell r="BU33">
            <v>8.880658457340374</v>
          </cell>
          <cell r="BV33">
            <v>8.8458392125888849</v>
          </cell>
          <cell r="BW33">
            <v>8.8827928635398568</v>
          </cell>
          <cell r="BY33">
            <v>0.40716238194444399</v>
          </cell>
          <cell r="BZ33">
            <v>0.456676332544732</v>
          </cell>
          <cell r="CA33">
            <v>0.53869032599045197</v>
          </cell>
          <cell r="CB33">
            <v>8.2386664702380994</v>
          </cell>
          <cell r="CC33">
            <v>8.6623785922465206</v>
          </cell>
          <cell r="CD33">
            <v>9.1276527053301706</v>
          </cell>
          <cell r="CE33">
            <v>9.6286372123015909</v>
          </cell>
          <cell r="CF33">
            <v>10.416180650099401</v>
          </cell>
          <cell r="CG33">
            <v>10.662184891408099</v>
          </cell>
          <cell r="CI33">
            <v>-0.14872659638363162</v>
          </cell>
          <cell r="CJ33">
            <v>-0.24102371416752999</v>
          </cell>
          <cell r="CK33">
            <v>-0.35657558716111404</v>
          </cell>
          <cell r="CL33">
            <v>-6.0283305960332045E-2</v>
          </cell>
          <cell r="CM33">
            <v>-0.10624866643010855</v>
          </cell>
          <cell r="CN33">
            <v>-0.15180685893246215</v>
          </cell>
          <cell r="CO33">
            <v>-7.7682722743525501E-2</v>
          </cell>
          <cell r="CP33">
            <v>-0.14741700862728158</v>
          </cell>
          <cell r="CQ33">
            <v>-0.16708830809183695</v>
          </cell>
        </row>
        <row r="34">
          <cell r="B34" t="str">
            <v>CNC</v>
          </cell>
          <cell r="C34" t="str">
            <v>Centene Corporation</v>
          </cell>
          <cell r="D34" t="str">
            <v>Managed Health Care</v>
          </cell>
          <cell r="E34">
            <v>491.51799999999997</v>
          </cell>
          <cell r="F34">
            <v>491.14100000000002</v>
          </cell>
          <cell r="G34">
            <v>18548.185435500003</v>
          </cell>
          <cell r="H34">
            <v>18562.421999999999</v>
          </cell>
          <cell r="I34" t="e">
            <v>#N/A</v>
          </cell>
          <cell r="J34">
            <v>17583</v>
          </cell>
          <cell r="K34" t="e">
            <v>#N/A</v>
          </cell>
          <cell r="L34" t="e">
            <v>#N/A</v>
          </cell>
          <cell r="M34">
            <v>19197.129799999999</v>
          </cell>
          <cell r="O34">
            <v>37.765500000000003</v>
          </cell>
          <cell r="P34">
            <v>25.21</v>
          </cell>
          <cell r="Q34">
            <v>65.89</v>
          </cell>
          <cell r="R34">
            <v>0.57315981180755804</v>
          </cell>
          <cell r="S34">
            <v>34.25</v>
          </cell>
          <cell r="T34">
            <v>34.08</v>
          </cell>
          <cell r="U34">
            <v>55.22</v>
          </cell>
          <cell r="V34">
            <v>0.10264233576642345</v>
          </cell>
          <cell r="W34">
            <v>0.10814260563380307</v>
          </cell>
          <cell r="X34">
            <v>-0.31609018471568262</v>
          </cell>
          <cell r="Z34">
            <v>163071</v>
          </cell>
          <cell r="AA34">
            <v>193573.13</v>
          </cell>
          <cell r="AB34">
            <v>193821.27</v>
          </cell>
          <cell r="AC34">
            <v>193806.98</v>
          </cell>
          <cell r="AD34" t="e">
            <v>#N/A</v>
          </cell>
          <cell r="AE34" t="e">
            <v>#N/A</v>
          </cell>
          <cell r="AF34">
            <v>830.12919999999997</v>
          </cell>
          <cell r="AG34">
            <v>1030.098</v>
          </cell>
          <cell r="AH34">
            <v>4275.8975</v>
          </cell>
          <cell r="AI34">
            <v>1119.5809999999999</v>
          </cell>
          <cell r="AJ34">
            <v>2040.84</v>
          </cell>
          <cell r="AK34">
            <v>1987.8359</v>
          </cell>
          <cell r="AL34">
            <v>763.14215000000002</v>
          </cell>
          <cell r="AM34">
            <v>877.60440000000006</v>
          </cell>
          <cell r="AN34">
            <v>356.43884999999989</v>
          </cell>
          <cell r="AO34">
            <v>1163.2356</v>
          </cell>
          <cell r="AP34">
            <v>1000.7492999999999</v>
          </cell>
          <cell r="AQ34">
            <v>1364.6560999999999</v>
          </cell>
          <cell r="AR34">
            <v>1343.7190000000001</v>
          </cell>
          <cell r="AS34">
            <v>0.18704815693777554</v>
          </cell>
          <cell r="AT34">
            <v>1.2818927916284917E-3</v>
          </cell>
          <cell r="AU34" t="str">
            <v>--</v>
          </cell>
          <cell r="AV34" t="str">
            <v>--</v>
          </cell>
          <cell r="AW34">
            <v>4.2884526380288415E-3</v>
          </cell>
          <cell r="AX34">
            <v>5.3146798594395752E-3</v>
          </cell>
          <cell r="AY34">
            <v>2.6221078548607661E-2</v>
          </cell>
          <cell r="AZ34">
            <v>5.7837624467817405E-3</v>
          </cell>
          <cell r="BA34">
            <v>1.0529494518326086E-2</v>
          </cell>
          <cell r="BB34">
            <v>1.8413653279254196E-3</v>
          </cell>
          <cell r="BC34">
            <v>6.0015889896913796E-3</v>
          </cell>
          <cell r="BD34">
            <v>5.1698771415226892E-3</v>
          </cell>
          <cell r="BE34">
            <v>7.040796399693388E-3</v>
          </cell>
          <cell r="BF34">
            <v>1.9202173617214387E-2</v>
          </cell>
          <cell r="BG34">
            <v>6.2666154233536983E-2</v>
          </cell>
          <cell r="BI34">
            <v>9.9052829779402149E-2</v>
          </cell>
          <cell r="BJ34">
            <v>9.9172492587168468E-2</v>
          </cell>
          <cell r="BK34">
            <v>9.9045526840268877E-2</v>
          </cell>
          <cell r="BL34" t="str">
            <v>--</v>
          </cell>
          <cell r="BM34" t="str">
            <v>--</v>
          </cell>
          <cell r="BN34">
            <v>23.125472275881876</v>
          </cell>
          <cell r="BO34">
            <v>18.636216942465669</v>
          </cell>
          <cell r="BP34">
            <v>9.6573010880827734</v>
          </cell>
          <cell r="BQ34">
            <v>17.146709170662955</v>
          </cell>
          <cell r="BR34">
            <v>9.406484486779954</v>
          </cell>
          <cell r="BS34">
            <v>53.858129662353036</v>
          </cell>
          <cell r="BT34">
            <v>16.503217233035166</v>
          </cell>
          <cell r="BU34">
            <v>13.814214132567894</v>
          </cell>
          <cell r="BV34">
            <v>18.54852359127306</v>
          </cell>
          <cell r="BW34">
            <v>13.602270931115905</v>
          </cell>
          <cell r="BY34">
            <v>0.15373198442063499</v>
          </cell>
          <cell r="BZ34">
            <v>0.20789354819880701</v>
          </cell>
          <cell r="CA34">
            <v>0.30594427004295899</v>
          </cell>
          <cell r="CB34">
            <v>8.2324661638888799</v>
          </cell>
          <cell r="CC34">
            <v>8.3468818703777306</v>
          </cell>
          <cell r="CD34">
            <v>8.8814583687350694</v>
          </cell>
          <cell r="CE34">
            <v>9.3712613690476108</v>
          </cell>
          <cell r="CF34">
            <v>9.8174771411530806</v>
          </cell>
          <cell r="CG34">
            <v>11.3820684081146</v>
          </cell>
          <cell r="CI34">
            <v>-0.35567845459941527</v>
          </cell>
          <cell r="CJ34">
            <v>-0.52354062625994202</v>
          </cell>
          <cell r="CK34">
            <v>-0.67623897723106996</v>
          </cell>
          <cell r="CL34">
            <v>0.17307510238473012</v>
          </cell>
          <cell r="CM34">
            <v>0.15699505971871885</v>
          </cell>
          <cell r="CN34">
            <v>8.7355329174188645E-2</v>
          </cell>
          <cell r="CO34">
            <v>0.47410402810820496</v>
          </cell>
          <cell r="CP34">
            <v>0.40710428289781486</v>
          </cell>
          <cell r="CQ34">
            <v>0.2136822269245322</v>
          </cell>
        </row>
        <row r="35">
          <cell r="B35" t="str">
            <v>HUM</v>
          </cell>
          <cell r="C35" t="str">
            <v>Humana Inc.</v>
          </cell>
          <cell r="D35" t="str">
            <v>Managed Health Care</v>
          </cell>
          <cell r="E35">
            <v>120.27307</v>
          </cell>
          <cell r="F35">
            <v>120.745</v>
          </cell>
          <cell r="G35">
            <v>30505.016800000001</v>
          </cell>
          <cell r="H35">
            <v>30385.771000000001</v>
          </cell>
          <cell r="I35" t="e">
            <v>#N/A</v>
          </cell>
          <cell r="J35">
            <v>12607</v>
          </cell>
          <cell r="K35" t="e">
            <v>#N/A</v>
          </cell>
          <cell r="L35" t="e">
            <v>#N/A</v>
          </cell>
          <cell r="M35">
            <v>37787.035425000002</v>
          </cell>
          <cell r="O35">
            <v>252.64</v>
          </cell>
          <cell r="P35">
            <v>220.41</v>
          </cell>
          <cell r="Q35">
            <v>312</v>
          </cell>
          <cell r="R35">
            <v>0.80974358974358973</v>
          </cell>
          <cell r="S35">
            <v>238.42</v>
          </cell>
          <cell r="T35">
            <v>278.72000000000003</v>
          </cell>
          <cell r="U35">
            <v>235.26</v>
          </cell>
          <cell r="V35">
            <v>5.9642647428906903E-2</v>
          </cell>
          <cell r="W35">
            <v>-9.3570608495981755E-2</v>
          </cell>
          <cell r="X35">
            <v>7.3875711978236724E-2</v>
          </cell>
          <cell r="Z35">
            <v>117811</v>
          </cell>
          <cell r="AA35">
            <v>129085.55</v>
          </cell>
          <cell r="AB35">
            <v>143665.70000000001</v>
          </cell>
          <cell r="AC35">
            <v>142826.84</v>
          </cell>
          <cell r="AD35">
            <v>18958.900000000001</v>
          </cell>
          <cell r="AE35">
            <v>19015.900000000001</v>
          </cell>
          <cell r="AF35">
            <v>3340.9920000000002</v>
          </cell>
          <cell r="AG35">
            <v>2708.0770000000002</v>
          </cell>
          <cell r="AH35">
            <v>3733.1370000000002</v>
          </cell>
          <cell r="AI35">
            <v>4041.3809000000001</v>
          </cell>
          <cell r="AJ35">
            <v>3411.4702000000002</v>
          </cell>
          <cell r="AK35">
            <v>3447.7116999999998</v>
          </cell>
          <cell r="AL35">
            <v>553.48860000000002</v>
          </cell>
          <cell r="AM35">
            <v>545.40374999999995</v>
          </cell>
          <cell r="AN35">
            <v>3487.8923</v>
          </cell>
          <cell r="AO35">
            <v>2866.0664500000003</v>
          </cell>
          <cell r="AP35">
            <v>1991.8417999999999</v>
          </cell>
          <cell r="AQ35">
            <v>1466.9063000000001</v>
          </cell>
          <cell r="AR35">
            <v>1497.1079</v>
          </cell>
          <cell r="AS35">
            <v>9.5700316608805736E-2</v>
          </cell>
          <cell r="AT35">
            <v>0.11294951293928723</v>
          </cell>
          <cell r="AU35">
            <v>0.14687081551730616</v>
          </cell>
          <cell r="AV35">
            <v>0.13236214350398182</v>
          </cell>
          <cell r="AW35">
            <v>2.5881998411131223E-2</v>
          </cell>
          <cell r="AX35">
            <v>1.8849850729854099E-2</v>
          </cell>
          <cell r="AY35">
            <v>3.1687507957661003E-2</v>
          </cell>
          <cell r="AZ35">
            <v>3.1307771474034081E-2</v>
          </cell>
          <cell r="BA35">
            <v>2.3745892025723605E-2</v>
          </cell>
          <cell r="BB35">
            <v>2.7020005724885551E-2</v>
          </cell>
          <cell r="BC35">
            <v>1.9949552676804556E-2</v>
          </cell>
          <cell r="BD35">
            <v>1.5430401001506364E-2</v>
          </cell>
          <cell r="BE35">
            <v>1.021055338887431E-2</v>
          </cell>
          <cell r="BF35">
            <v>0.11478702646709212</v>
          </cell>
          <cell r="BG35">
            <v>9.4322650229938229E-2</v>
          </cell>
          <cell r="BI35">
            <v>0.26456536758077126</v>
          </cell>
          <cell r="BJ35">
            <v>0.29272862396294552</v>
          </cell>
          <cell r="BK35">
            <v>0.26302057780667198</v>
          </cell>
          <cell r="BL35">
            <v>1.9931027340721243</v>
          </cell>
          <cell r="BM35">
            <v>1.9871284254229356</v>
          </cell>
          <cell r="BN35">
            <v>11.310124485482156</v>
          </cell>
          <cell r="BO35">
            <v>13.953456797941859</v>
          </cell>
          <cell r="BP35">
            <v>10.960033411436346</v>
          </cell>
          <cell r="BQ35">
            <v>9.3500306850561898</v>
          </cell>
          <cell r="BR35">
            <v>11.076466511417863</v>
          </cell>
          <cell r="BS35">
            <v>10.833773572939739</v>
          </cell>
          <cell r="BT35">
            <v>13.184284483355226</v>
          </cell>
          <cell r="BU35">
            <v>20.296313311819411</v>
          </cell>
          <cell r="BV35">
            <v>15.255112629928743</v>
          </cell>
          <cell r="BW35">
            <v>20.714186720719653</v>
          </cell>
          <cell r="BY35">
            <v>0.31437708408730203</v>
          </cell>
          <cell r="BZ35">
            <v>0.37248908906560702</v>
          </cell>
          <cell r="CA35">
            <v>0.53707093716786103</v>
          </cell>
          <cell r="CB35">
            <v>10.2955055654762</v>
          </cell>
          <cell r="CC35">
            <v>10.818142089463199</v>
          </cell>
          <cell r="CD35">
            <v>11.5716883886237</v>
          </cell>
          <cell r="CE35">
            <v>17.1549498492063</v>
          </cell>
          <cell r="CF35">
            <v>17.370758100397602</v>
          </cell>
          <cell r="CG35">
            <v>17.553730489657902</v>
          </cell>
          <cell r="CI35">
            <v>-0.15844576156415435</v>
          </cell>
          <cell r="CJ35">
            <v>-0.28973659807207663</v>
          </cell>
          <cell r="CK35">
            <v>-0.5073921352439863</v>
          </cell>
          <cell r="CL35">
            <v>6.4545431181980861E-2</v>
          </cell>
          <cell r="CM35">
            <v>1.3116052719565063E-2</v>
          </cell>
          <cell r="CN35">
            <v>-5.2857885266654914E-2</v>
          </cell>
          <cell r="CO35">
            <v>0.18311702979175126</v>
          </cell>
          <cell r="CP35">
            <v>0.16841839570345796</v>
          </cell>
          <cell r="CQ35">
            <v>0.15623931470164432</v>
          </cell>
        </row>
        <row r="36">
          <cell r="B36" t="str">
            <v>MOH</v>
          </cell>
          <cell r="C36" t="str">
            <v>Molina Healthcare, Inc.</v>
          </cell>
          <cell r="D36" t="str">
            <v>Managed Health Care</v>
          </cell>
          <cell r="E36">
            <v>51.4</v>
          </cell>
          <cell r="F36">
            <v>52.5</v>
          </cell>
          <cell r="G36">
            <v>8277.6749999999993</v>
          </cell>
          <cell r="H36">
            <v>8104.2383</v>
          </cell>
          <cell r="I36" t="e">
            <v>#N/A</v>
          </cell>
          <cell r="J36">
            <v>3852</v>
          </cell>
          <cell r="K36" t="e">
            <v>#N/A</v>
          </cell>
          <cell r="L36" t="e">
            <v>#N/A</v>
          </cell>
          <cell r="M36">
            <v>7926</v>
          </cell>
          <cell r="O36">
            <v>157.66999999999999</v>
          </cell>
          <cell r="P36">
            <v>134.51</v>
          </cell>
          <cell r="Q36">
            <v>353.24</v>
          </cell>
          <cell r="R36">
            <v>0.44635375382176418</v>
          </cell>
          <cell r="S36">
            <v>140.9</v>
          </cell>
          <cell r="T36">
            <v>188.44</v>
          </cell>
          <cell r="U36">
            <v>298.14</v>
          </cell>
          <cell r="V36">
            <v>0.11902058197303034</v>
          </cell>
          <cell r="W36">
            <v>-0.16328804924644458</v>
          </cell>
          <cell r="X36">
            <v>-0.47115449117864094</v>
          </cell>
          <cell r="Z36">
            <v>40650</v>
          </cell>
          <cell r="AA36">
            <v>44880.61</v>
          </cell>
          <cell r="AB36">
            <v>46850.82</v>
          </cell>
          <cell r="AC36">
            <v>46737.464999999997</v>
          </cell>
          <cell r="AD36" t="e">
            <v>#N/A</v>
          </cell>
          <cell r="AE36" t="e">
            <v>#N/A</v>
          </cell>
          <cell r="AF36">
            <v>1094.9315999999999</v>
          </cell>
          <cell r="AG36">
            <v>1069.9413</v>
          </cell>
          <cell r="AH36">
            <v>2000.1876999999999</v>
          </cell>
          <cell r="AI36">
            <v>1253.8103000000001</v>
          </cell>
          <cell r="AJ36">
            <v>1222.9373000000001</v>
          </cell>
          <cell r="AK36">
            <v>1224.7135000000001</v>
          </cell>
          <cell r="AL36">
            <v>131.64859000000001</v>
          </cell>
          <cell r="AM36">
            <v>143.44470000000001</v>
          </cell>
          <cell r="AN36">
            <v>1122.1617100000001</v>
          </cell>
          <cell r="AO36">
            <v>1079.4926</v>
          </cell>
          <cell r="AP36">
            <v>772.42534999999998</v>
          </cell>
          <cell r="AQ36">
            <v>694.33954000000006</v>
          </cell>
          <cell r="AR36">
            <v>698.83214999999996</v>
          </cell>
          <cell r="AS36">
            <v>0.1040740467404675</v>
          </cell>
          <cell r="AT36">
            <v>4.3898913138658235E-2</v>
          </cell>
          <cell r="AU36" t="str">
            <v>--</v>
          </cell>
          <cell r="AV36" t="str">
            <v>--</v>
          </cell>
          <cell r="AW36">
            <v>2.4396540064852056E-2</v>
          </cell>
          <cell r="AX36">
            <v>2.2837194738533923E-2</v>
          </cell>
          <cell r="AY36">
            <v>4.9205109471094709E-2</v>
          </cell>
          <cell r="AZ36">
            <v>2.7936569935212558E-2</v>
          </cell>
          <cell r="BA36">
            <v>2.6102793931888493E-2</v>
          </cell>
          <cell r="BB36">
            <v>2.5003263324629502E-2</v>
          </cell>
          <cell r="BC36">
            <v>2.3041060967556173E-2</v>
          </cell>
          <cell r="BD36">
            <v>1.7210669596513951E-2</v>
          </cell>
          <cell r="BE36">
            <v>1.4820221716503577E-2</v>
          </cell>
          <cell r="BF36">
            <v>0.13846603079280134</v>
          </cell>
          <cell r="BG36">
            <v>0.13320099434884583</v>
          </cell>
          <cell r="BI36">
            <v>0.16958557765167626</v>
          </cell>
          <cell r="BJ36">
            <v>0.17660187773740152</v>
          </cell>
          <cell r="BK36">
            <v>0.16917526736992011</v>
          </cell>
          <cell r="BL36" t="str">
            <v>--</v>
          </cell>
          <cell r="BM36" t="str">
            <v>--</v>
          </cell>
          <cell r="BN36">
            <v>7.2388083420005422</v>
          </cell>
          <cell r="BO36">
            <v>7.4078830305924264</v>
          </cell>
          <cell r="BP36">
            <v>6.4717176711124678</v>
          </cell>
          <cell r="BQ36">
            <v>6.3215304579967153</v>
          </cell>
          <cell r="BR36">
            <v>6.4811172248977931</v>
          </cell>
          <cell r="BS36">
            <v>7.0631531350325609</v>
          </cell>
          <cell r="BT36">
            <v>7.3423384282578681</v>
          </cell>
          <cell r="BU36">
            <v>11.59683094144996</v>
          </cell>
          <cell r="BV36">
            <v>10.491937246751418</v>
          </cell>
          <cell r="BW36">
            <v>11.671866332140612</v>
          </cell>
          <cell r="BY36">
            <v>0.27946430424603202</v>
          </cell>
          <cell r="BZ36">
            <v>0.35943358707753498</v>
          </cell>
          <cell r="CA36">
            <v>0.43779729849642002</v>
          </cell>
          <cell r="CB36">
            <v>6.5441708051587302</v>
          </cell>
          <cell r="CC36">
            <v>7.4194866023856898</v>
          </cell>
          <cell r="CD36">
            <v>8.6257819961018303</v>
          </cell>
          <cell r="CE36">
            <v>10.8040192035714</v>
          </cell>
          <cell r="CF36">
            <v>12.3610068534791</v>
          </cell>
          <cell r="CG36">
            <v>14.691104069053299</v>
          </cell>
          <cell r="CI36">
            <v>-0.39317624800347251</v>
          </cell>
          <cell r="CJ36">
            <v>-0.52818661430464986</v>
          </cell>
          <cell r="CK36">
            <v>-0.61263904954620685</v>
          </cell>
          <cell r="CL36">
            <v>-1.1071400213018334E-2</v>
          </cell>
          <cell r="CM36">
            <v>-0.12774050039641194</v>
          </cell>
          <cell r="CN36">
            <v>-0.249723946879579</v>
          </cell>
          <cell r="CO36">
            <v>7.3381185551436801E-2</v>
          </cell>
          <cell r="CP36">
            <v>-6.1821494081127915E-2</v>
          </cell>
          <cell r="CQ36">
            <v>-0.21062223186624907</v>
          </cell>
        </row>
        <row r="37">
          <cell r="B37" t="str">
            <v>CVS</v>
          </cell>
          <cell r="C37" t="str">
            <v>CVS Health Corporation</v>
          </cell>
          <cell r="D37" t="str">
            <v>Drugstore Chains</v>
          </cell>
          <cell r="E37">
            <v>1269.4324999999999</v>
          </cell>
          <cell r="F37">
            <v>1269</v>
          </cell>
          <cell r="G37">
            <v>100219.27499999999</v>
          </cell>
          <cell r="H37">
            <v>100253.234</v>
          </cell>
          <cell r="I37">
            <v>11289</v>
          </cell>
          <cell r="J37">
            <v>81752</v>
          </cell>
          <cell r="K37">
            <v>70463</v>
          </cell>
          <cell r="L37">
            <v>170682.27499999999</v>
          </cell>
          <cell r="M37">
            <v>170159.98</v>
          </cell>
          <cell r="O37">
            <v>78.974999999999994</v>
          </cell>
          <cell r="P37">
            <v>43.78</v>
          </cell>
          <cell r="Q37">
            <v>83.04</v>
          </cell>
          <cell r="R37">
            <v>0.95104768786127158</v>
          </cell>
          <cell r="S37">
            <v>77.540000000000006</v>
          </cell>
          <cell r="T37">
            <v>74.67</v>
          </cell>
          <cell r="U37">
            <v>67.459999999999994</v>
          </cell>
          <cell r="V37">
            <v>1.8506577250451128E-2</v>
          </cell>
          <cell r="W37">
            <v>5.7653676175170698E-2</v>
          </cell>
          <cell r="X37">
            <v>0.17069374444115026</v>
          </cell>
          <cell r="Z37">
            <v>372692</v>
          </cell>
          <cell r="AA37">
            <v>399017.38</v>
          </cell>
          <cell r="AB37">
            <v>411664.3</v>
          </cell>
          <cell r="AC37">
            <v>410936.7</v>
          </cell>
          <cell r="AD37">
            <v>55149.58</v>
          </cell>
          <cell r="AE37">
            <v>57226.3</v>
          </cell>
          <cell r="AF37">
            <v>14254.508</v>
          </cell>
          <cell r="AG37">
            <v>15296.366</v>
          </cell>
          <cell r="AH37">
            <v>14518</v>
          </cell>
          <cell r="AI37">
            <v>16773.451000000001</v>
          </cell>
          <cell r="AJ37">
            <v>17804.099999999999</v>
          </cell>
          <cell r="AK37">
            <v>17744.8</v>
          </cell>
          <cell r="AL37">
            <v>2972.4373000000001</v>
          </cell>
          <cell r="AM37">
            <v>3052.5365999999999</v>
          </cell>
          <cell r="AN37">
            <v>13801.013700000001</v>
          </cell>
          <cell r="AO37">
            <v>14751.563399999999</v>
          </cell>
          <cell r="AP37">
            <v>-354.00555000000003</v>
          </cell>
          <cell r="AQ37">
            <v>7513.0969999999998</v>
          </cell>
          <cell r="AR37">
            <v>7060.4690000000001</v>
          </cell>
          <cell r="AS37">
            <v>7.063575284685486E-2</v>
          </cell>
          <cell r="AT37">
            <v>3.1695160747133411E-2</v>
          </cell>
          <cell r="AU37">
            <v>0.13821347832016742</v>
          </cell>
          <cell r="AV37">
            <v>0.13901205423934018</v>
          </cell>
          <cell r="AW37">
            <v>3.5724027860641057E-2</v>
          </cell>
          <cell r="AX37">
            <v>3.7157377989784399E-2</v>
          </cell>
          <cell r="AY37">
            <v>3.89544181254226E-2</v>
          </cell>
          <cell r="AZ37">
            <v>4.2036893230064314E-2</v>
          </cell>
          <cell r="BA37">
            <v>4.3249074549335464E-2</v>
          </cell>
          <cell r="BB37">
            <v>3.458750017355134E-2</v>
          </cell>
          <cell r="BC37">
            <v>3.5833963255983092E-2</v>
          </cell>
          <cell r="BD37">
            <v>-8.8719330972500507E-4</v>
          </cell>
          <cell r="BE37">
            <v>1.8250542978830081E-2</v>
          </cell>
          <cell r="BF37">
            <v>0.13766153119808586</v>
          </cell>
          <cell r="BG37">
            <v>0.14714301785017728</v>
          </cell>
          <cell r="BI37">
            <v>0.41407832398517824</v>
          </cell>
          <cell r="BJ37">
            <v>0.42644753970365906</v>
          </cell>
          <cell r="BK37">
            <v>0.41334645729542252</v>
          </cell>
          <cell r="BL37">
            <v>3.0854265798579066</v>
          </cell>
          <cell r="BM37">
            <v>2.973457658454242</v>
          </cell>
          <cell r="BN37">
            <v>11.937274860696702</v>
          </cell>
          <cell r="BO37">
            <v>11.124209501786241</v>
          </cell>
          <cell r="BP37">
            <v>9.5892870023894332</v>
          </cell>
          <cell r="BQ37">
            <v>10.144601728052265</v>
          </cell>
          <cell r="BR37">
            <v>9.5573480265781487</v>
          </cell>
          <cell r="BS37">
            <v>12.329527649117543</v>
          </cell>
          <cell r="BT37">
            <v>11.535047193709653</v>
          </cell>
          <cell r="BU37">
            <v>14.199231524138126</v>
          </cell>
          <cell r="BV37" t="str">
            <v>--</v>
          </cell>
          <cell r="BW37">
            <v>13.343796040434457</v>
          </cell>
          <cell r="BY37">
            <v>0.38701455178571398</v>
          </cell>
          <cell r="BZ37">
            <v>0.39568364974155101</v>
          </cell>
          <cell r="CA37">
            <v>0.49821932727923601</v>
          </cell>
          <cell r="CB37">
            <v>9.22483740277778</v>
          </cell>
          <cell r="CC37">
            <v>8.7217747936381809</v>
          </cell>
          <cell r="CD37">
            <v>8.8634765051710502</v>
          </cell>
          <cell r="CE37">
            <v>10.1551865281746</v>
          </cell>
          <cell r="CF37">
            <v>9.3186563829025797</v>
          </cell>
          <cell r="CG37">
            <v>9.8219012369132805</v>
          </cell>
          <cell r="CI37">
            <v>6.9929598446854202E-2</v>
          </cell>
          <cell r="CJ37">
            <v>4.6488335455968643E-2</v>
          </cell>
          <cell r="CK37">
            <v>-0.16888345892470658</v>
          </cell>
          <cell r="CL37">
            <v>3.950742801189211E-2</v>
          </cell>
          <cell r="CM37">
            <v>9.9465100771007231E-2</v>
          </cell>
          <cell r="CN37">
            <v>8.188778937868646E-2</v>
          </cell>
          <cell r="CO37">
            <v>0.3982245904340318</v>
          </cell>
          <cell r="CP37">
            <v>0.52374236592629275</v>
          </cell>
          <cell r="CQ37">
            <v>0.44567036275763905</v>
          </cell>
        </row>
        <row r="38">
          <cell r="B38" t="str">
            <v>ALKS</v>
          </cell>
          <cell r="C38" t="str">
            <v>Alkermes Public Limited Company</v>
          </cell>
          <cell r="D38" t="str">
            <v>Pharmaceuticals: Major</v>
          </cell>
          <cell r="E38">
            <v>165.11751000000001</v>
          </cell>
          <cell r="F38">
            <v>168.51</v>
          </cell>
          <cell r="G38">
            <v>4755.3521999999994</v>
          </cell>
          <cell r="H38">
            <v>4659.63</v>
          </cell>
          <cell r="I38">
            <v>1111.114</v>
          </cell>
          <cell r="J38">
            <v>71.597999999999999</v>
          </cell>
          <cell r="K38">
            <v>-1039.5160000000001</v>
          </cell>
          <cell r="L38">
            <v>3715.8361999999993</v>
          </cell>
          <cell r="M38">
            <v>3733.5297500000001</v>
          </cell>
          <cell r="O38">
            <v>28.22</v>
          </cell>
          <cell r="P38">
            <v>26.13</v>
          </cell>
          <cell r="Q38">
            <v>36</v>
          </cell>
          <cell r="R38">
            <v>0.78388888888888886</v>
          </cell>
          <cell r="S38">
            <v>32.65</v>
          </cell>
          <cell r="T38">
            <v>27.71</v>
          </cell>
          <cell r="U38">
            <v>29.83</v>
          </cell>
          <cell r="V38">
            <v>-0.13568147013782539</v>
          </cell>
          <cell r="W38">
            <v>1.8404907975460016E-2</v>
          </cell>
          <cell r="X38">
            <v>-5.3972510895072046E-2</v>
          </cell>
          <cell r="Z38">
            <v>1557.6320000000001</v>
          </cell>
          <cell r="AA38">
            <v>1464.3616999999999</v>
          </cell>
          <cell r="AB38">
            <v>1700.8268</v>
          </cell>
          <cell r="AC38">
            <v>1687.2219</v>
          </cell>
          <cell r="AD38">
            <v>1271.5646999999999</v>
          </cell>
          <cell r="AE38">
            <v>1438.6615999999999</v>
          </cell>
          <cell r="AF38">
            <v>265.53237999999999</v>
          </cell>
          <cell r="AG38">
            <v>303.99142000000001</v>
          </cell>
          <cell r="AH38">
            <v>449.16899999999998</v>
          </cell>
          <cell r="AI38">
            <v>379.12866000000002</v>
          </cell>
          <cell r="AJ38">
            <v>378.66770000000002</v>
          </cell>
          <cell r="AK38">
            <v>378.69420000000002</v>
          </cell>
          <cell r="AL38">
            <v>40.624096000000002</v>
          </cell>
          <cell r="AM38">
            <v>36.351596999999998</v>
          </cell>
          <cell r="AN38">
            <v>338.50456400000002</v>
          </cell>
          <cell r="AO38">
            <v>342.316103</v>
          </cell>
          <cell r="AP38">
            <v>254.28533999999999</v>
          </cell>
          <cell r="AQ38">
            <v>263.83596999999997</v>
          </cell>
          <cell r="AR38">
            <v>263.28647000000001</v>
          </cell>
          <cell r="AS38">
            <v>-5.987954792916439E-2</v>
          </cell>
          <cell r="AT38">
            <v>0.16147998134613872</v>
          </cell>
          <cell r="AU38">
            <v>0.8683405882576688</v>
          </cell>
          <cell r="AV38">
            <v>0.84586014284346878</v>
          </cell>
          <cell r="AW38">
            <v>0.18132977665285838</v>
          </cell>
          <cell r="AX38">
            <v>0.17873155573512836</v>
          </cell>
          <cell r="AY38">
            <v>0.28836657182184239</v>
          </cell>
          <cell r="AZ38">
            <v>0.2589036984510043</v>
          </cell>
          <cell r="BA38">
            <v>0.22263742551563745</v>
          </cell>
          <cell r="BB38">
            <v>0.23116185297662459</v>
          </cell>
          <cell r="BC38">
            <v>0.20126452793429642</v>
          </cell>
          <cell r="BD38">
            <v>0.173649269849109</v>
          </cell>
          <cell r="BE38">
            <v>0.1551221852807117</v>
          </cell>
          <cell r="BF38">
            <v>7.2646232426179763E-2</v>
          </cell>
          <cell r="BG38">
            <v>7.3464224198058647E-2</v>
          </cell>
          <cell r="BI38">
            <v>2.2128267479221315</v>
          </cell>
          <cell r="BJ38">
            <v>2.5495953288043522</v>
          </cell>
          <cell r="BK38">
            <v>2.1951263644246435</v>
          </cell>
          <cell r="BL38">
            <v>2.9361697049312556</v>
          </cell>
          <cell r="BM38">
            <v>2.5951410324707354</v>
          </cell>
          <cell r="BN38">
            <v>14.060544141546881</v>
          </cell>
          <cell r="BO38">
            <v>12.281694496509145</v>
          </cell>
          <cell r="BP38">
            <v>9.8589567783187597</v>
          </cell>
          <cell r="BQ38">
            <v>9.8476589714953224</v>
          </cell>
          <cell r="BR38">
            <v>9.8596467298372694</v>
          </cell>
          <cell r="BS38">
            <v>11.029481274586301</v>
          </cell>
          <cell r="BT38">
            <v>10.906672859617125</v>
          </cell>
          <cell r="BU38">
            <v>17.697947030851985</v>
          </cell>
          <cell r="BV38">
            <v>18.324414612340611</v>
          </cell>
          <cell r="BW38">
            <v>17.661086924576662</v>
          </cell>
          <cell r="BY38">
            <v>2.9437210071428601</v>
          </cell>
          <cell r="BZ38">
            <v>2.8517605564612398</v>
          </cell>
          <cell r="CA38">
            <v>3.1324764359586301</v>
          </cell>
          <cell r="CB38">
            <v>13.6016130753968</v>
          </cell>
          <cell r="CC38">
            <v>11.620947699801199</v>
          </cell>
          <cell r="CD38">
            <v>85.894302542016902</v>
          </cell>
          <cell r="CE38">
            <v>17.480978753968301</v>
          </cell>
          <cell r="CF38">
            <v>14.2769771053678</v>
          </cell>
          <cell r="CG38">
            <v>74.154569663882299</v>
          </cell>
          <cell r="CI38">
            <v>-0.24828924257673646</v>
          </cell>
          <cell r="CJ38">
            <v>-0.2240488974754471</v>
          </cell>
          <cell r="CK38">
            <v>-0.29358550873027034</v>
          </cell>
          <cell r="CL38">
            <v>-0.27516267933308025</v>
          </cell>
          <cell r="CM38">
            <v>-0.15162196466236422</v>
          </cell>
          <cell r="CN38">
            <v>-0.88521989833381487</v>
          </cell>
          <cell r="CO38">
            <v>1.2411677854961667E-2</v>
          </cell>
          <cell r="CP38">
            <v>0.23961444360641182</v>
          </cell>
          <cell r="CQ38">
            <v>-0.76133706781563404</v>
          </cell>
        </row>
        <row r="39">
          <cell r="B39" t="str">
            <v>MEDP</v>
          </cell>
          <cell r="C39" t="str">
            <v>Medpace Holdings, Inc.</v>
          </cell>
          <cell r="D39" t="str">
            <v>Miscellaneous Commercial Services</v>
          </cell>
          <cell r="E39">
            <v>28.168222</v>
          </cell>
          <cell r="F39">
            <v>28.817</v>
          </cell>
          <cell r="G39">
            <v>15985.366240000001</v>
          </cell>
          <cell r="H39">
            <v>15625.463</v>
          </cell>
          <cell r="I39">
            <v>285.351</v>
          </cell>
          <cell r="J39">
            <v>143.97300000000001</v>
          </cell>
          <cell r="K39">
            <v>-141.37799999999999</v>
          </cell>
          <cell r="L39">
            <v>15843.988240000001</v>
          </cell>
          <cell r="M39">
            <v>15909.835085000001</v>
          </cell>
          <cell r="O39">
            <v>554.72</v>
          </cell>
          <cell r="P39">
            <v>277.23</v>
          </cell>
          <cell r="Q39">
            <v>618.49</v>
          </cell>
          <cell r="R39">
            <v>0.89689404840822007</v>
          </cell>
          <cell r="S39">
            <v>600.44000000000005</v>
          </cell>
          <cell r="T39">
            <v>497.59</v>
          </cell>
          <cell r="U39">
            <v>298.25</v>
          </cell>
          <cell r="V39">
            <v>-7.614416094863774E-2</v>
          </cell>
          <cell r="W39">
            <v>0.1148134005908481</v>
          </cell>
          <cell r="X39">
            <v>0.85991617770326911</v>
          </cell>
          <cell r="Z39">
            <v>2109.0540000000001</v>
          </cell>
          <cell r="AA39">
            <v>2511.2449000000001</v>
          </cell>
          <cell r="AB39">
            <v>2812.9092000000001</v>
          </cell>
          <cell r="AC39">
            <v>2795.5531999999998</v>
          </cell>
          <cell r="AD39">
            <v>759.84929999999997</v>
          </cell>
          <cell r="AE39">
            <v>826.71370000000002</v>
          </cell>
          <cell r="AF39">
            <v>528.37609999999995</v>
          </cell>
          <cell r="AG39">
            <v>574.94740000000002</v>
          </cell>
          <cell r="AH39">
            <v>476.12099999999998</v>
          </cell>
          <cell r="AI39">
            <v>552.97655999999995</v>
          </cell>
          <cell r="AJ39">
            <v>604.32830000000001</v>
          </cell>
          <cell r="AK39">
            <v>601.37383999999997</v>
          </cell>
          <cell r="AL39">
            <v>39.647399999999998</v>
          </cell>
          <cell r="AM39">
            <v>51.617379999999997</v>
          </cell>
          <cell r="AN39">
            <v>513.32916</v>
          </cell>
          <cell r="AO39">
            <v>552.71091999999999</v>
          </cell>
          <cell r="AP39">
            <v>436.56207000000001</v>
          </cell>
          <cell r="AQ39">
            <v>476.89550000000003</v>
          </cell>
          <cell r="AR39">
            <v>474.57495</v>
          </cell>
          <cell r="AS39">
            <v>0.19069729840961869</v>
          </cell>
          <cell r="AT39">
            <v>0.1201254007524315</v>
          </cell>
          <cell r="AU39">
            <v>0.30257873296228494</v>
          </cell>
          <cell r="AV39">
            <v>0.29389988841445719</v>
          </cell>
          <cell r="AW39">
            <v>0.21040405099478746</v>
          </cell>
          <cell r="AX39">
            <v>0.20439600396628516</v>
          </cell>
          <cell r="AY39">
            <v>0.22575097650415776</v>
          </cell>
          <cell r="AZ39">
            <v>0.22020017243240592</v>
          </cell>
          <cell r="BA39">
            <v>0.21484102650736114</v>
          </cell>
          <cell r="BB39">
            <v>0.20441222598401293</v>
          </cell>
          <cell r="BC39">
            <v>0.1964908501134697</v>
          </cell>
          <cell r="BD39">
            <v>0.17384288963613226</v>
          </cell>
          <cell r="BE39">
            <v>0.16953817776983346</v>
          </cell>
          <cell r="BF39">
            <v>3.2852092766787133E-2</v>
          </cell>
          <cell r="BG39">
            <v>3.5372450723540158E-2</v>
          </cell>
          <cell r="BI39">
            <v>5.6911222741173377</v>
          </cell>
          <cell r="BJ39">
            <v>6.3354374895893271</v>
          </cell>
          <cell r="BK39">
            <v>5.6560073410830327</v>
          </cell>
          <cell r="BL39">
            <v>20.938145346715462</v>
          </cell>
          <cell r="BM39">
            <v>19.244673319191396</v>
          </cell>
          <cell r="BN39">
            <v>30.11081516556105</v>
          </cell>
          <cell r="BO39">
            <v>27.671809777729234</v>
          </cell>
          <cell r="BP39">
            <v>26.455815046760268</v>
          </cell>
          <cell r="BQ39">
            <v>28.771264888696191</v>
          </cell>
          <cell r="BR39">
            <v>26.326476991065949</v>
          </cell>
          <cell r="BS39">
            <v>30.993437203138821</v>
          </cell>
          <cell r="BT39">
            <v>28.785092729848728</v>
          </cell>
          <cell r="BU39">
            <v>32.925174411333764</v>
          </cell>
          <cell r="BV39">
            <v>35.792076485252139</v>
          </cell>
          <cell r="BW39">
            <v>32.764962135310562</v>
          </cell>
          <cell r="BY39">
            <v>4.9023154361111096</v>
          </cell>
          <cell r="BZ39">
            <v>4.9547367514910503</v>
          </cell>
          <cell r="CA39">
            <v>4.6197739688941901</v>
          </cell>
          <cell r="CB39">
            <v>22.6232445833333</v>
          </cell>
          <cell r="CC39">
            <v>23.882419121272399</v>
          </cell>
          <cell r="CD39">
            <v>23.2967221352427</v>
          </cell>
          <cell r="CE39">
            <v>28.450032849206298</v>
          </cell>
          <cell r="CF39">
            <v>29.8490277852883</v>
          </cell>
          <cell r="CG39">
            <v>30.042634336515501</v>
          </cell>
          <cell r="CI39">
            <v>0.16090495364614266</v>
          </cell>
          <cell r="CJ39">
            <v>0.148622532247487</v>
          </cell>
          <cell r="CK39">
            <v>0.2319049183870765</v>
          </cell>
          <cell r="CL39">
            <v>0.16940852357890557</v>
          </cell>
          <cell r="CM39">
            <v>0.10775273277051367</v>
          </cell>
          <cell r="CN39">
            <v>0.13560246343577109</v>
          </cell>
          <cell r="CO39">
            <v>0.15729829156426844</v>
          </cell>
          <cell r="CP39">
            <v>0.10305684487189914</v>
          </cell>
          <cell r="CQ39">
            <v>9.5948312738828756E-2</v>
          </cell>
        </row>
        <row r="40">
          <cell r="B40" t="str">
            <v>ONON</v>
          </cell>
          <cell r="C40" t="str">
            <v>On Holding AG Class A</v>
          </cell>
          <cell r="D40" t="str">
            <v>Apparel/Footwear</v>
          </cell>
          <cell r="E40">
            <v>293.04773</v>
          </cell>
          <cell r="F40">
            <v>333.95027700000003</v>
          </cell>
          <cell r="G40">
            <v>16453.730147790004</v>
          </cell>
          <cell r="H40">
            <v>16088.597</v>
          </cell>
          <cell r="I40">
            <v>1208.82297492616</v>
          </cell>
          <cell r="J40">
            <v>703.95274304028203</v>
          </cell>
          <cell r="K40">
            <v>-504.87023188587796</v>
          </cell>
          <cell r="L40">
            <v>15948.859915904126</v>
          </cell>
          <cell r="M40">
            <v>15945.5204131341</v>
          </cell>
          <cell r="O40">
            <v>49.27</v>
          </cell>
          <cell r="P40">
            <v>34.96</v>
          </cell>
          <cell r="Q40">
            <v>63.62</v>
          </cell>
          <cell r="R40">
            <v>0.77444199937126701</v>
          </cell>
          <cell r="S40">
            <v>34.96</v>
          </cell>
          <cell r="T40">
            <v>43.3</v>
          </cell>
          <cell r="U40">
            <v>52.26</v>
          </cell>
          <cell r="V40">
            <v>0.40932494279176201</v>
          </cell>
          <cell r="W40">
            <v>0.13787528868360299</v>
          </cell>
          <cell r="X40">
            <v>-5.7213930348258613E-2</v>
          </cell>
          <cell r="Z40">
            <v>2632.4348543948499</v>
          </cell>
          <cell r="AA40">
            <v>3712.4578000000001</v>
          </cell>
          <cell r="AB40">
            <v>4563.2236000000003</v>
          </cell>
          <cell r="AC40">
            <v>4514.2754000000004</v>
          </cell>
          <cell r="AD40">
            <v>2319.4805000000001</v>
          </cell>
          <cell r="AE40">
            <v>2845.9054999999998</v>
          </cell>
          <cell r="AF40">
            <v>489.01366999999999</v>
          </cell>
          <cell r="AG40">
            <v>633.76935000000003</v>
          </cell>
          <cell r="AH40">
            <v>358.93225000000001</v>
          </cell>
          <cell r="AI40">
            <v>681.92070000000001</v>
          </cell>
          <cell r="AJ40">
            <v>854.89859999999999</v>
          </cell>
          <cell r="AK40">
            <v>844.94650000000001</v>
          </cell>
          <cell r="AL40">
            <v>113.523506</v>
          </cell>
          <cell r="AM40">
            <v>150.12137999999999</v>
          </cell>
          <cell r="AN40">
            <v>568.39719400000001</v>
          </cell>
          <cell r="AO40">
            <v>704.77721999999994</v>
          </cell>
          <cell r="AP40">
            <v>239.37741</v>
          </cell>
          <cell r="AQ40">
            <v>476.17016999999998</v>
          </cell>
          <cell r="AR40">
            <v>462.54647999999997</v>
          </cell>
          <cell r="AS40">
            <v>0.41027527948205522</v>
          </cell>
          <cell r="AT40">
            <v>0.22916510997108164</v>
          </cell>
          <cell r="AU40">
            <v>0.62478299416629057</v>
          </cell>
          <cell r="AV40">
            <v>0.62366119863159886</v>
          </cell>
          <cell r="AW40">
            <v>0.13172235116046302</v>
          </cell>
          <cell r="AX40">
            <v>0.13888632369450404</v>
          </cell>
          <cell r="AY40">
            <v>0.13634990791918844</v>
          </cell>
          <cell r="AZ40">
            <v>0.18368443137589335</v>
          </cell>
          <cell r="BA40">
            <v>0.1873453231614598</v>
          </cell>
          <cell r="BB40">
            <v>0.15310536162862243</v>
          </cell>
          <cell r="BC40">
            <v>0.15444722454538495</v>
          </cell>
          <cell r="BD40">
            <v>6.4479496575018308E-2</v>
          </cell>
          <cell r="BE40">
            <v>0.10434951511032682</v>
          </cell>
          <cell r="BF40">
            <v>3.5329195827330379E-2</v>
          </cell>
          <cell r="BG40">
            <v>4.3806008690502968E-2</v>
          </cell>
          <cell r="BI40">
            <v>3.5322436050609802</v>
          </cell>
          <cell r="BJ40">
            <v>4.295138496425225</v>
          </cell>
          <cell r="BK40">
            <v>3.4943543886681554</v>
          </cell>
          <cell r="BL40">
            <v>6.8746085225265308</v>
          </cell>
          <cell r="BM40">
            <v>5.6029690420620435</v>
          </cell>
          <cell r="BN40">
            <v>32.607514659322511</v>
          </cell>
          <cell r="BO40">
            <v>25.159816285110821</v>
          </cell>
          <cell r="BP40">
            <v>18.87163318995238</v>
          </cell>
          <cell r="BQ40">
            <v>23.383247367522497</v>
          </cell>
          <cell r="BR40">
            <v>18.651943532407351</v>
          </cell>
          <cell r="BS40">
            <v>28.053481933857153</v>
          </cell>
          <cell r="BT40">
            <v>22.624908922473544</v>
          </cell>
          <cell r="BU40">
            <v>34.782660112341574</v>
          </cell>
          <cell r="BV40">
            <v>67.210172421867213</v>
          </cell>
          <cell r="BW40">
            <v>33.78749450012797</v>
          </cell>
          <cell r="BY40">
            <v>4.07413010039682</v>
          </cell>
          <cell r="BZ40">
            <v>4.1513833520874703</v>
          </cell>
          <cell r="CA40">
            <v>4.7953365790521296</v>
          </cell>
          <cell r="CB40">
            <v>23.152650563492099</v>
          </cell>
          <cell r="CC40">
            <v>24.232638994035799</v>
          </cell>
          <cell r="CD40">
            <v>32.915404819905199</v>
          </cell>
          <cell r="CE40">
            <v>39.737239424603203</v>
          </cell>
          <cell r="CF40">
            <v>40.1533439840954</v>
          </cell>
          <cell r="CG40">
            <v>138.15669896887201</v>
          </cell>
          <cell r="CI40">
            <v>-0.13300667430405821</v>
          </cell>
          <cell r="CJ40">
            <v>-0.14914058628557236</v>
          </cell>
          <cell r="CK40">
            <v>-0.26340027507325015</v>
          </cell>
          <cell r="CL40">
            <v>-0.18490398590864476</v>
          </cell>
          <cell r="CM40">
            <v>-0.22123078734441115</v>
          </cell>
          <cell r="CN40">
            <v>-0.426662582665853</v>
          </cell>
          <cell r="CO40">
            <v>-0.12468353071335936</v>
          </cell>
          <cell r="CP40">
            <v>-0.13375433622368127</v>
          </cell>
          <cell r="CQ40">
            <v>-0.74823761444837045</v>
          </cell>
        </row>
        <row r="42">
          <cell r="B42" t="str">
            <v>*</v>
          </cell>
          <cell r="C42" t="str">
            <v>*</v>
          </cell>
          <cell r="D42" t="str">
            <v>*</v>
          </cell>
          <cell r="E42" t="str">
            <v>*</v>
          </cell>
          <cell r="F42" t="str">
            <v>*</v>
          </cell>
          <cell r="G42" t="str">
            <v>*</v>
          </cell>
          <cell r="H42" t="str">
            <v>*</v>
          </cell>
          <cell r="I42" t="str">
            <v>*</v>
          </cell>
          <cell r="J42" t="str">
            <v>*</v>
          </cell>
          <cell r="K42" t="str">
            <v>*</v>
          </cell>
          <cell r="L42" t="str">
            <v>*</v>
          </cell>
          <cell r="M42" t="str">
            <v>*</v>
          </cell>
          <cell r="N42" t="str">
            <v>*</v>
          </cell>
          <cell r="O42" t="str">
            <v>*</v>
          </cell>
          <cell r="P42" t="str">
            <v>*</v>
          </cell>
          <cell r="Q42" t="str">
            <v>*</v>
          </cell>
          <cell r="R42" t="str">
            <v>*</v>
          </cell>
          <cell r="S42" t="str">
            <v>*</v>
          </cell>
          <cell r="T42" t="str">
            <v>*</v>
          </cell>
          <cell r="U42" t="str">
            <v>*</v>
          </cell>
          <cell r="V42" t="str">
            <v>*</v>
          </cell>
          <cell r="W42" t="str">
            <v>*</v>
          </cell>
          <cell r="X42" t="str">
            <v>*</v>
          </cell>
          <cell r="Y42" t="str">
            <v>*</v>
          </cell>
          <cell r="Z42" t="str">
            <v>*</v>
          </cell>
          <cell r="AA42" t="str">
            <v>*</v>
          </cell>
          <cell r="AB42" t="str">
            <v>*</v>
          </cell>
          <cell r="AC42" t="str">
            <v>*</v>
          </cell>
          <cell r="AD42" t="str">
            <v>*</v>
          </cell>
          <cell r="AE42" t="str">
            <v>*</v>
          </cell>
          <cell r="AF42" t="str">
            <v>*</v>
          </cell>
          <cell r="AG42" t="str">
            <v>*</v>
          </cell>
          <cell r="AH42" t="str">
            <v>*</v>
          </cell>
          <cell r="AI42" t="str">
            <v>*</v>
          </cell>
          <cell r="AJ42" t="str">
            <v>*</v>
          </cell>
          <cell r="AK42" t="str">
            <v>*</v>
          </cell>
          <cell r="AL42" t="str">
            <v>*</v>
          </cell>
          <cell r="AM42" t="str">
            <v>*</v>
          </cell>
          <cell r="AN42" t="str">
            <v>*</v>
          </cell>
          <cell r="AO42" t="str">
            <v>*</v>
          </cell>
          <cell r="AP42" t="str">
            <v>*</v>
          </cell>
          <cell r="AQ42" t="str">
            <v>*</v>
          </cell>
          <cell r="AR42" t="str">
            <v>*</v>
          </cell>
          <cell r="AS42" t="str">
            <v>*</v>
          </cell>
          <cell r="AT42" t="str">
            <v>*</v>
          </cell>
          <cell r="AU42" t="str">
            <v>*</v>
          </cell>
          <cell r="AV42" t="str">
            <v>*</v>
          </cell>
          <cell r="AY42" t="str">
            <v>*</v>
          </cell>
          <cell r="AZ42" t="str">
            <v>*</v>
          </cell>
          <cell r="BA42" t="str">
            <v>*</v>
          </cell>
          <cell r="BB42" t="str">
            <v>*</v>
          </cell>
          <cell r="BC42" t="str">
            <v>*</v>
          </cell>
          <cell r="BD42" t="str">
            <v>*</v>
          </cell>
          <cell r="BE42" t="str">
            <v>*</v>
          </cell>
          <cell r="BF42" t="str">
            <v>*</v>
          </cell>
          <cell r="BG42" t="str">
            <v>*</v>
          </cell>
          <cell r="BH42" t="str">
            <v>*</v>
          </cell>
          <cell r="BI42" t="str">
            <v>*</v>
          </cell>
          <cell r="BJ42" t="str">
            <v>*</v>
          </cell>
          <cell r="BK42" t="str">
            <v>*</v>
          </cell>
          <cell r="BL42" t="str">
            <v>*</v>
          </cell>
          <cell r="BM42" t="str">
            <v>*</v>
          </cell>
          <cell r="BN42" t="str">
            <v>*</v>
          </cell>
          <cell r="BO42" t="str">
            <v>*</v>
          </cell>
          <cell r="BP42" t="str">
            <v>*</v>
          </cell>
          <cell r="BQ42" t="str">
            <v>*</v>
          </cell>
          <cell r="BR42" t="str">
            <v>*</v>
          </cell>
          <cell r="BS42" t="str">
            <v>*</v>
          </cell>
          <cell r="BT42" t="str">
            <v>*</v>
          </cell>
          <cell r="BU42" t="str">
            <v>*</v>
          </cell>
          <cell r="BV42" t="str">
            <v>*</v>
          </cell>
          <cell r="BW42" t="str">
            <v>*</v>
          </cell>
          <cell r="BX42" t="str">
            <v>*</v>
          </cell>
          <cell r="BY42" t="str">
            <v>*</v>
          </cell>
          <cell r="BZ42" t="str">
            <v>*</v>
          </cell>
          <cell r="CA42" t="str">
            <v>*</v>
          </cell>
          <cell r="CB42" t="str">
            <v>*</v>
          </cell>
          <cell r="CC42" t="str">
            <v>*</v>
          </cell>
          <cell r="CD42" t="str">
            <v>*</v>
          </cell>
          <cell r="CE42" t="str">
            <v>*</v>
          </cell>
          <cell r="CF42" t="str">
            <v>*</v>
          </cell>
          <cell r="CG42" t="str">
            <v>*</v>
          </cell>
          <cell r="CH42" t="str">
            <v>*</v>
          </cell>
          <cell r="CI42" t="str">
            <v>*</v>
          </cell>
          <cell r="CJ42" t="str">
            <v>*</v>
          </cell>
          <cell r="CK42" t="str">
            <v>*</v>
          </cell>
          <cell r="CL42" t="str">
            <v>*</v>
          </cell>
          <cell r="CM42" t="str">
            <v>*</v>
          </cell>
          <cell r="CN42" t="str">
            <v>*</v>
          </cell>
          <cell r="CO42" t="str">
            <v>*</v>
          </cell>
          <cell r="CP42" t="str">
            <v>*</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CF"/>
      <sheetName val="WACC"/>
      <sheetName val="Shares"/>
      <sheetName val="IS - Estimates"/>
      <sheetName val="IS - Annual"/>
      <sheetName val="IS - Quarterly"/>
      <sheetName val="CFS - Estimates"/>
      <sheetName val="CFS - Annual"/>
      <sheetName val="CFS - Quarterly"/>
    </sheetNames>
    <sheetDataSet>
      <sheetData sheetId="0" refreshError="1"/>
      <sheetData sheetId="1">
        <row r="18">
          <cell r="E18">
            <v>0.09</v>
          </cell>
        </row>
        <row r="19">
          <cell r="E19">
            <v>0.03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Data Sheet"/>
    </sheetNames>
    <sheetDataSet>
      <sheetData sheetId="0">
        <row r="1">
          <cell r="A1" t="str">
            <v>HINDUSTAN UNILEVER LTD</v>
          </cell>
        </row>
        <row r="4">
          <cell r="B4">
            <v>32186</v>
          </cell>
          <cell r="C4">
            <v>33162</v>
          </cell>
          <cell r="D4">
            <v>35545</v>
          </cell>
          <cell r="E4">
            <v>39310</v>
          </cell>
          <cell r="F4">
            <v>39783</v>
          </cell>
          <cell r="G4">
            <v>47028</v>
          </cell>
          <cell r="H4">
            <v>52446</v>
          </cell>
          <cell r="I4">
            <v>60580</v>
          </cell>
          <cell r="J4">
            <v>61896</v>
          </cell>
          <cell r="K4">
            <v>63121</v>
          </cell>
        </row>
        <row r="9">
          <cell r="C9">
            <v>35</v>
          </cell>
          <cell r="D9">
            <v>26</v>
          </cell>
          <cell r="E9">
            <v>33</v>
          </cell>
          <cell r="F9">
            <v>118</v>
          </cell>
          <cell r="G9">
            <v>117</v>
          </cell>
          <cell r="H9">
            <v>106</v>
          </cell>
          <cell r="I9">
            <v>114</v>
          </cell>
          <cell r="J9">
            <v>334</v>
          </cell>
          <cell r="K9">
            <v>395</v>
          </cell>
        </row>
        <row r="10">
          <cell r="C10">
            <v>6467</v>
          </cell>
          <cell r="D10">
            <v>7306</v>
          </cell>
          <cell r="E10">
            <v>8604</v>
          </cell>
          <cell r="F10">
            <v>9165</v>
          </cell>
          <cell r="G10">
            <v>10605</v>
          </cell>
          <cell r="H10">
            <v>11879</v>
          </cell>
          <cell r="I10">
            <v>13344</v>
          </cell>
          <cell r="J10">
            <v>13926</v>
          </cell>
          <cell r="K10">
            <v>14415</v>
          </cell>
        </row>
        <row r="12">
          <cell r="B12">
            <v>4151</v>
          </cell>
          <cell r="C12">
            <v>4476</v>
          </cell>
          <cell r="D12">
            <v>5214</v>
          </cell>
          <cell r="E12">
            <v>6054</v>
          </cell>
          <cell r="F12">
            <v>6748</v>
          </cell>
          <cell r="G12">
            <v>7995</v>
          </cell>
          <cell r="H12">
            <v>8879</v>
          </cell>
          <cell r="I12">
            <v>10120</v>
          </cell>
          <cell r="J12">
            <v>10277</v>
          </cell>
          <cell r="K12">
            <v>10649</v>
          </cell>
          <cell r="L12">
            <v>10889</v>
          </cell>
          <cell r="M12">
            <v>10709.713863921172</v>
          </cell>
          <cell r="N12">
            <v>9918.7602195534273</v>
          </cell>
        </row>
      </sheetData>
      <sheetData sheetId="1">
        <row r="4">
          <cell r="H4">
            <v>15818</v>
          </cell>
          <cell r="I4">
            <v>15670</v>
          </cell>
          <cell r="J4">
            <v>16514</v>
          </cell>
          <cell r="K4">
            <v>16241</v>
          </cell>
        </row>
        <row r="5">
          <cell r="H5">
            <v>12123</v>
          </cell>
          <cell r="I5">
            <v>12052</v>
          </cell>
          <cell r="J5">
            <v>12797</v>
          </cell>
          <cell r="K5">
            <v>12515</v>
          </cell>
        </row>
        <row r="6">
          <cell r="H6">
            <v>3695</v>
          </cell>
          <cell r="I6">
            <v>3618</v>
          </cell>
          <cell r="J6">
            <v>3717</v>
          </cell>
          <cell r="K6">
            <v>3726</v>
          </cell>
        </row>
        <row r="7">
          <cell r="H7">
            <v>740</v>
          </cell>
          <cell r="I7">
            <v>171</v>
          </cell>
          <cell r="J7">
            <v>74</v>
          </cell>
          <cell r="K7">
            <v>331</v>
          </cell>
        </row>
        <row r="8">
          <cell r="H8">
            <v>341</v>
          </cell>
          <cell r="I8">
            <v>347</v>
          </cell>
          <cell r="J8">
            <v>361</v>
          </cell>
          <cell r="K8">
            <v>358</v>
          </cell>
        </row>
        <row r="9">
          <cell r="H9">
            <v>112</v>
          </cell>
          <cell r="I9">
            <v>80</v>
          </cell>
          <cell r="J9">
            <v>127</v>
          </cell>
          <cell r="K9">
            <v>129</v>
          </cell>
        </row>
        <row r="10">
          <cell r="H10">
            <v>3982</v>
          </cell>
          <cell r="I10">
            <v>3362</v>
          </cell>
          <cell r="J10">
            <v>3303</v>
          </cell>
          <cell r="K10">
            <v>3570</v>
          </cell>
        </row>
        <row r="11">
          <cell r="H11">
            <v>993</v>
          </cell>
          <cell r="I11">
            <v>887</v>
          </cell>
          <cell r="J11">
            <v>535</v>
          </cell>
          <cell r="K11">
            <v>876</v>
          </cell>
        </row>
        <row r="12">
          <cell r="H12">
            <v>2984</v>
          </cell>
          <cell r="I12">
            <v>2464</v>
          </cell>
          <cell r="J12">
            <v>2756</v>
          </cell>
          <cell r="K12">
            <v>2685</v>
          </cell>
        </row>
      </sheetData>
      <sheetData sheetId="2">
        <row r="1">
          <cell r="A1" t="str">
            <v>HINDUSTAN UNILEVER LTD</v>
          </cell>
        </row>
        <row r="4">
          <cell r="B4">
            <v>216</v>
          </cell>
          <cell r="C4">
            <v>216</v>
          </cell>
          <cell r="D4">
            <v>216</v>
          </cell>
          <cell r="E4">
            <v>216</v>
          </cell>
          <cell r="F4">
            <v>216</v>
          </cell>
          <cell r="G4">
            <v>235</v>
          </cell>
          <cell r="H4">
            <v>235</v>
          </cell>
          <cell r="I4">
            <v>235</v>
          </cell>
          <cell r="J4">
            <v>235</v>
          </cell>
          <cell r="K4">
            <v>235</v>
          </cell>
        </row>
        <row r="5">
          <cell r="B5">
            <v>6357</v>
          </cell>
          <cell r="C5">
            <v>6528</v>
          </cell>
          <cell r="D5">
            <v>7065</v>
          </cell>
          <cell r="E5">
            <v>7651</v>
          </cell>
          <cell r="F5">
            <v>8013</v>
          </cell>
          <cell r="G5">
            <v>47439</v>
          </cell>
          <cell r="H5">
            <v>48826</v>
          </cell>
          <cell r="I5">
            <v>50069</v>
          </cell>
          <cell r="J5">
            <v>50983</v>
          </cell>
          <cell r="K5">
            <v>49167</v>
          </cell>
        </row>
        <row r="17">
          <cell r="B17">
            <v>1264</v>
          </cell>
          <cell r="C17">
            <v>1085</v>
          </cell>
          <cell r="D17">
            <v>1310</v>
          </cell>
          <cell r="E17">
            <v>1816</v>
          </cell>
          <cell r="F17">
            <v>1149</v>
          </cell>
          <cell r="G17">
            <v>1758</v>
          </cell>
          <cell r="H17">
            <v>2236</v>
          </cell>
          <cell r="I17">
            <v>3079</v>
          </cell>
          <cell r="J17">
            <v>2997</v>
          </cell>
          <cell r="K17">
            <v>3819</v>
          </cell>
        </row>
        <row r="18">
          <cell r="B18">
            <v>2726</v>
          </cell>
          <cell r="C18">
            <v>2541</v>
          </cell>
          <cell r="D18">
            <v>2513</v>
          </cell>
          <cell r="E18">
            <v>2574</v>
          </cell>
          <cell r="F18">
            <v>2767</v>
          </cell>
          <cell r="G18">
            <v>3579</v>
          </cell>
          <cell r="H18">
            <v>4096</v>
          </cell>
          <cell r="I18">
            <v>4251</v>
          </cell>
          <cell r="J18">
            <v>4022</v>
          </cell>
          <cell r="K18">
            <v>4415</v>
          </cell>
        </row>
      </sheetData>
      <sheetData sheetId="3" refreshError="1"/>
      <sheetData sheetId="4">
        <row r="1">
          <cell r="B1" t="str">
            <v>HINDUSTAN UNILEVER LTD</v>
          </cell>
          <cell r="E1" t="str">
            <v/>
          </cell>
        </row>
        <row r="6">
          <cell r="B6">
            <v>234.92444784233774</v>
          </cell>
        </row>
        <row r="8">
          <cell r="B8">
            <v>2354.4</v>
          </cell>
        </row>
        <row r="16">
          <cell r="B16">
            <v>42460</v>
          </cell>
          <cell r="C16">
            <v>42825</v>
          </cell>
          <cell r="D16">
            <v>43190</v>
          </cell>
          <cell r="E16">
            <v>43555</v>
          </cell>
          <cell r="F16">
            <v>43921</v>
          </cell>
          <cell r="G16">
            <v>44286</v>
          </cell>
          <cell r="H16">
            <v>44651</v>
          </cell>
          <cell r="I16">
            <v>45016</v>
          </cell>
          <cell r="J16">
            <v>45382</v>
          </cell>
          <cell r="K16">
            <v>45747</v>
          </cell>
        </row>
        <row r="17">
          <cell r="B17">
            <v>32186</v>
          </cell>
          <cell r="C17">
            <v>33162</v>
          </cell>
          <cell r="D17">
            <v>35545</v>
          </cell>
          <cell r="E17">
            <v>39310</v>
          </cell>
          <cell r="F17">
            <v>39783</v>
          </cell>
          <cell r="G17">
            <v>47028</v>
          </cell>
          <cell r="H17">
            <v>52446</v>
          </cell>
          <cell r="I17">
            <v>60580</v>
          </cell>
          <cell r="J17">
            <v>61896</v>
          </cell>
          <cell r="K17">
            <v>63121</v>
          </cell>
        </row>
        <row r="18">
          <cell r="B18">
            <v>13184</v>
          </cell>
          <cell r="C18">
            <v>13606</v>
          </cell>
          <cell r="D18">
            <v>14233</v>
          </cell>
          <cell r="E18">
            <v>15845</v>
          </cell>
          <cell r="F18">
            <v>15697</v>
          </cell>
          <cell r="G18">
            <v>20141</v>
          </cell>
          <cell r="H18">
            <v>22871</v>
          </cell>
          <cell r="I18">
            <v>28427</v>
          </cell>
          <cell r="J18">
            <v>26822</v>
          </cell>
          <cell r="K18">
            <v>27344</v>
          </cell>
        </row>
        <row r="19">
          <cell r="B19">
            <v>-83</v>
          </cell>
          <cell r="C19">
            <v>-144</v>
          </cell>
          <cell r="D19">
            <v>72</v>
          </cell>
          <cell r="E19">
            <v>-12</v>
          </cell>
          <cell r="F19">
            <v>108</v>
          </cell>
          <cell r="G19">
            <v>405</v>
          </cell>
          <cell r="H19">
            <v>22</v>
          </cell>
          <cell r="I19">
            <v>75</v>
          </cell>
          <cell r="J19">
            <v>11</v>
          </cell>
          <cell r="K19">
            <v>153</v>
          </cell>
        </row>
        <row r="20">
          <cell r="B20">
            <v>309</v>
          </cell>
          <cell r="C20">
            <v>295</v>
          </cell>
          <cell r="D20">
            <v>295</v>
          </cell>
          <cell r="E20">
            <v>308</v>
          </cell>
          <cell r="F20">
            <v>299</v>
          </cell>
          <cell r="G20">
            <v>339</v>
          </cell>
          <cell r="H20">
            <v>318</v>
          </cell>
          <cell r="I20">
            <v>384</v>
          </cell>
          <cell r="J20">
            <v>446</v>
          </cell>
          <cell r="K20">
            <v>427</v>
          </cell>
        </row>
        <row r="21">
          <cell r="B21">
            <v>2966</v>
          </cell>
          <cell r="C21">
            <v>2887</v>
          </cell>
          <cell r="D21">
            <v>2998</v>
          </cell>
          <cell r="E21">
            <v>3041</v>
          </cell>
          <cell r="F21">
            <v>2906</v>
          </cell>
          <cell r="G21">
            <v>2868</v>
          </cell>
          <cell r="H21">
            <v>3354</v>
          </cell>
          <cell r="I21">
            <v>3791</v>
          </cell>
          <cell r="J21">
            <v>3385</v>
          </cell>
          <cell r="K21">
            <v>3834</v>
          </cell>
        </row>
        <row r="22">
          <cell r="B22">
            <v>1680</v>
          </cell>
          <cell r="C22">
            <v>1743</v>
          </cell>
          <cell r="D22">
            <v>1860</v>
          </cell>
          <cell r="E22">
            <v>1875</v>
          </cell>
          <cell r="F22">
            <v>1820</v>
          </cell>
          <cell r="G22">
            <v>2358</v>
          </cell>
          <cell r="H22">
            <v>2545</v>
          </cell>
          <cell r="I22">
            <v>2854</v>
          </cell>
          <cell r="J22">
            <v>3009</v>
          </cell>
          <cell r="K22">
            <v>3077</v>
          </cell>
        </row>
        <row r="23">
          <cell r="B23">
            <v>6741</v>
          </cell>
          <cell r="C23">
            <v>6689</v>
          </cell>
          <cell r="D23">
            <v>7252</v>
          </cell>
          <cell r="E23">
            <v>7796</v>
          </cell>
          <cell r="F23">
            <v>7620</v>
          </cell>
          <cell r="G23">
            <v>7906</v>
          </cell>
          <cell r="H23">
            <v>8164</v>
          </cell>
          <cell r="I23">
            <v>8785</v>
          </cell>
          <cell r="J23">
            <v>10780</v>
          </cell>
          <cell r="K23">
            <v>10693</v>
          </cell>
        </row>
        <row r="24">
          <cell r="B24">
            <v>1313</v>
          </cell>
          <cell r="C24">
            <v>1470</v>
          </cell>
          <cell r="D24">
            <v>1480</v>
          </cell>
          <cell r="E24">
            <v>1553</v>
          </cell>
          <cell r="F24">
            <v>1688</v>
          </cell>
          <cell r="G24">
            <v>2195</v>
          </cell>
          <cell r="H24">
            <v>2359</v>
          </cell>
          <cell r="I24">
            <v>2267</v>
          </cell>
          <cell r="J24">
            <v>2806</v>
          </cell>
          <cell r="K24">
            <v>3056</v>
          </cell>
        </row>
        <row r="25">
          <cell r="B25">
            <v>486</v>
          </cell>
          <cell r="C25">
            <v>606</v>
          </cell>
          <cell r="D25">
            <v>353</v>
          </cell>
          <cell r="E25">
            <v>322</v>
          </cell>
          <cell r="F25">
            <v>424</v>
          </cell>
          <cell r="G25">
            <v>170</v>
          </cell>
          <cell r="H25">
            <v>219</v>
          </cell>
          <cell r="I25">
            <v>448</v>
          </cell>
          <cell r="J25">
            <v>817</v>
          </cell>
          <cell r="K25">
            <v>1322</v>
          </cell>
        </row>
        <row r="26">
          <cell r="B26">
            <v>353</v>
          </cell>
          <cell r="C26">
            <v>432</v>
          </cell>
          <cell r="D26">
            <v>520</v>
          </cell>
          <cell r="E26">
            <v>565</v>
          </cell>
          <cell r="F26">
            <v>1002</v>
          </cell>
          <cell r="G26">
            <v>1074</v>
          </cell>
          <cell r="H26">
            <v>1091</v>
          </cell>
          <cell r="I26">
            <v>1137</v>
          </cell>
          <cell r="J26">
            <v>1216</v>
          </cell>
          <cell r="K26">
            <v>1355</v>
          </cell>
        </row>
        <row r="27">
          <cell r="B27">
            <v>17</v>
          </cell>
          <cell r="C27">
            <v>35</v>
          </cell>
          <cell r="D27">
            <v>26</v>
          </cell>
          <cell r="E27">
            <v>33</v>
          </cell>
          <cell r="F27">
            <v>118</v>
          </cell>
          <cell r="G27">
            <v>117</v>
          </cell>
          <cell r="H27">
            <v>106</v>
          </cell>
          <cell r="I27">
            <v>114</v>
          </cell>
          <cell r="J27">
            <v>334</v>
          </cell>
          <cell r="K27">
            <v>395</v>
          </cell>
        </row>
        <row r="28">
          <cell r="B28">
            <v>6026</v>
          </cell>
          <cell r="C28">
            <v>6467</v>
          </cell>
          <cell r="D28">
            <v>7306</v>
          </cell>
          <cell r="E28">
            <v>8604</v>
          </cell>
          <cell r="F28">
            <v>9165</v>
          </cell>
          <cell r="G28">
            <v>10605</v>
          </cell>
          <cell r="H28">
            <v>11879</v>
          </cell>
          <cell r="I28">
            <v>13344</v>
          </cell>
          <cell r="J28">
            <v>13926</v>
          </cell>
          <cell r="K28">
            <v>14415</v>
          </cell>
        </row>
        <row r="29">
          <cell r="B29">
            <v>1875</v>
          </cell>
          <cell r="C29">
            <v>1977</v>
          </cell>
          <cell r="D29">
            <v>2079</v>
          </cell>
          <cell r="E29">
            <v>2544</v>
          </cell>
          <cell r="F29">
            <v>2409</v>
          </cell>
          <cell r="G29">
            <v>2606</v>
          </cell>
          <cell r="H29">
            <v>2987</v>
          </cell>
          <cell r="I29">
            <v>3201</v>
          </cell>
          <cell r="J29">
            <v>3644</v>
          </cell>
          <cell r="K29">
            <v>3744</v>
          </cell>
        </row>
        <row r="30">
          <cell r="B30">
            <v>4151</v>
          </cell>
          <cell r="C30">
            <v>4476</v>
          </cell>
          <cell r="D30">
            <v>5214</v>
          </cell>
          <cell r="E30">
            <v>6054</v>
          </cell>
          <cell r="F30">
            <v>6748</v>
          </cell>
          <cell r="G30">
            <v>7995</v>
          </cell>
          <cell r="H30">
            <v>8879</v>
          </cell>
          <cell r="I30">
            <v>10120</v>
          </cell>
          <cell r="J30">
            <v>10277</v>
          </cell>
          <cell r="K30">
            <v>10649</v>
          </cell>
        </row>
        <row r="31">
          <cell r="B31">
            <v>3456</v>
          </cell>
          <cell r="C31">
            <v>3672</v>
          </cell>
          <cell r="D31">
            <v>4320</v>
          </cell>
          <cell r="E31">
            <v>4752</v>
          </cell>
          <cell r="F31">
            <v>5400</v>
          </cell>
          <cell r="G31">
            <v>9517.5</v>
          </cell>
          <cell r="H31">
            <v>7990</v>
          </cell>
          <cell r="I31">
            <v>9165</v>
          </cell>
          <cell r="J31">
            <v>9870</v>
          </cell>
          <cell r="K31">
            <v>12455</v>
          </cell>
        </row>
        <row r="41">
          <cell r="B41">
            <v>45107</v>
          </cell>
          <cell r="C41">
            <v>45199</v>
          </cell>
          <cell r="D41">
            <v>45291</v>
          </cell>
          <cell r="E41">
            <v>45382</v>
          </cell>
          <cell r="F41">
            <v>45473</v>
          </cell>
          <cell r="G41">
            <v>45565</v>
          </cell>
          <cell r="H41">
            <v>45657</v>
          </cell>
          <cell r="I41">
            <v>45747</v>
          </cell>
          <cell r="J41">
            <v>45838</v>
          </cell>
          <cell r="K41">
            <v>45930</v>
          </cell>
        </row>
        <row r="42">
          <cell r="B42">
            <v>15496</v>
          </cell>
          <cell r="C42">
            <v>15623</v>
          </cell>
          <cell r="D42">
            <v>15567</v>
          </cell>
          <cell r="E42">
            <v>15210</v>
          </cell>
          <cell r="F42">
            <v>15707</v>
          </cell>
          <cell r="G42">
            <v>15926</v>
          </cell>
          <cell r="H42">
            <v>15818</v>
          </cell>
          <cell r="I42">
            <v>15670</v>
          </cell>
          <cell r="J42">
            <v>16514</v>
          </cell>
          <cell r="K42">
            <v>16241</v>
          </cell>
        </row>
        <row r="43">
          <cell r="B43">
            <v>11832</v>
          </cell>
          <cell r="C43">
            <v>11828</v>
          </cell>
          <cell r="D43">
            <v>11902</v>
          </cell>
          <cell r="E43">
            <v>11675</v>
          </cell>
          <cell r="F43">
            <v>11965</v>
          </cell>
          <cell r="G43">
            <v>12139</v>
          </cell>
          <cell r="H43">
            <v>12123</v>
          </cell>
          <cell r="I43">
            <v>12052</v>
          </cell>
          <cell r="J43">
            <v>12797</v>
          </cell>
          <cell r="K43">
            <v>12515</v>
          </cell>
        </row>
        <row r="44">
          <cell r="B44">
            <v>146</v>
          </cell>
          <cell r="C44">
            <v>178</v>
          </cell>
          <cell r="D44">
            <v>184</v>
          </cell>
          <cell r="E44">
            <v>309</v>
          </cell>
          <cell r="F44">
            <v>209</v>
          </cell>
          <cell r="G44">
            <v>203</v>
          </cell>
          <cell r="H44">
            <v>740</v>
          </cell>
          <cell r="I44">
            <v>171</v>
          </cell>
          <cell r="J44">
            <v>74</v>
          </cell>
          <cell r="K44">
            <v>331</v>
          </cell>
        </row>
        <row r="45">
          <cell r="B45">
            <v>286</v>
          </cell>
          <cell r="C45">
            <v>297</v>
          </cell>
          <cell r="D45">
            <v>313</v>
          </cell>
          <cell r="E45">
            <v>320</v>
          </cell>
          <cell r="F45">
            <v>329</v>
          </cell>
          <cell r="G45">
            <v>338</v>
          </cell>
          <cell r="H45">
            <v>341</v>
          </cell>
          <cell r="I45">
            <v>347</v>
          </cell>
          <cell r="J45">
            <v>361</v>
          </cell>
          <cell r="K45">
            <v>358</v>
          </cell>
        </row>
        <row r="46">
          <cell r="B46">
            <v>50</v>
          </cell>
          <cell r="C46">
            <v>88</v>
          </cell>
          <cell r="D46">
            <v>91</v>
          </cell>
          <cell r="E46">
            <v>105</v>
          </cell>
          <cell r="F46">
            <v>93</v>
          </cell>
          <cell r="G46">
            <v>110</v>
          </cell>
          <cell r="H46">
            <v>112</v>
          </cell>
          <cell r="I46">
            <v>80</v>
          </cell>
          <cell r="J46">
            <v>127</v>
          </cell>
          <cell r="K46">
            <v>129</v>
          </cell>
        </row>
        <row r="47">
          <cell r="B47">
            <v>3474</v>
          </cell>
          <cell r="C47">
            <v>3588</v>
          </cell>
          <cell r="D47">
            <v>3445</v>
          </cell>
          <cell r="E47">
            <v>3419</v>
          </cell>
          <cell r="F47">
            <v>3529</v>
          </cell>
          <cell r="G47">
            <v>3542</v>
          </cell>
          <cell r="H47">
            <v>3982</v>
          </cell>
          <cell r="I47">
            <v>3362</v>
          </cell>
          <cell r="J47">
            <v>3303</v>
          </cell>
          <cell r="K47">
            <v>3570</v>
          </cell>
        </row>
        <row r="48">
          <cell r="B48">
            <v>918</v>
          </cell>
          <cell r="C48">
            <v>931</v>
          </cell>
          <cell r="D48">
            <v>937</v>
          </cell>
          <cell r="E48">
            <v>858</v>
          </cell>
          <cell r="F48">
            <v>917</v>
          </cell>
          <cell r="G48">
            <v>947</v>
          </cell>
          <cell r="H48">
            <v>993</v>
          </cell>
          <cell r="I48">
            <v>887</v>
          </cell>
          <cell r="J48">
            <v>535</v>
          </cell>
          <cell r="K48">
            <v>876</v>
          </cell>
        </row>
        <row r="49">
          <cell r="B49">
            <v>2554</v>
          </cell>
          <cell r="C49">
            <v>2656</v>
          </cell>
          <cell r="D49">
            <v>2509</v>
          </cell>
          <cell r="E49">
            <v>2558</v>
          </cell>
          <cell r="F49">
            <v>2610</v>
          </cell>
          <cell r="G49">
            <v>2591</v>
          </cell>
          <cell r="H49">
            <v>2984</v>
          </cell>
          <cell r="I49">
            <v>2464</v>
          </cell>
          <cell r="J49">
            <v>2756</v>
          </cell>
          <cell r="K49">
            <v>2685</v>
          </cell>
        </row>
        <row r="50">
          <cell r="B50">
            <v>3664</v>
          </cell>
          <cell r="C50">
            <v>3795</v>
          </cell>
          <cell r="D50">
            <v>3665</v>
          </cell>
          <cell r="E50">
            <v>3535</v>
          </cell>
          <cell r="F50">
            <v>3742</v>
          </cell>
          <cell r="G50">
            <v>3787</v>
          </cell>
          <cell r="H50">
            <v>3695</v>
          </cell>
          <cell r="I50">
            <v>3618</v>
          </cell>
          <cell r="J50">
            <v>3717</v>
          </cell>
          <cell r="K50">
            <v>3726</v>
          </cell>
        </row>
        <row r="56">
          <cell r="B56">
            <v>42460</v>
          </cell>
          <cell r="C56">
            <v>42825</v>
          </cell>
          <cell r="D56">
            <v>43190</v>
          </cell>
          <cell r="E56">
            <v>43555</v>
          </cell>
          <cell r="F56">
            <v>43921</v>
          </cell>
          <cell r="G56">
            <v>44286</v>
          </cell>
          <cell r="H56">
            <v>44651</v>
          </cell>
          <cell r="I56">
            <v>45016</v>
          </cell>
          <cell r="J56">
            <v>45382</v>
          </cell>
          <cell r="K56">
            <v>45747</v>
          </cell>
        </row>
        <row r="57">
          <cell r="B57">
            <v>216</v>
          </cell>
          <cell r="C57">
            <v>216</v>
          </cell>
          <cell r="D57">
            <v>216</v>
          </cell>
          <cell r="E57">
            <v>216</v>
          </cell>
          <cell r="F57">
            <v>216</v>
          </cell>
          <cell r="G57">
            <v>235</v>
          </cell>
          <cell r="H57">
            <v>235</v>
          </cell>
          <cell r="I57">
            <v>235</v>
          </cell>
          <cell r="J57">
            <v>235</v>
          </cell>
          <cell r="K57">
            <v>235</v>
          </cell>
        </row>
        <row r="58">
          <cell r="B58">
            <v>6357</v>
          </cell>
          <cell r="C58">
            <v>6528</v>
          </cell>
          <cell r="D58">
            <v>7065</v>
          </cell>
          <cell r="E58">
            <v>7651</v>
          </cell>
          <cell r="F58">
            <v>8013</v>
          </cell>
          <cell r="G58">
            <v>47439</v>
          </cell>
          <cell r="H58">
            <v>48826</v>
          </cell>
          <cell r="I58">
            <v>50069</v>
          </cell>
          <cell r="J58">
            <v>50983</v>
          </cell>
          <cell r="K58">
            <v>49167</v>
          </cell>
        </row>
        <row r="59">
          <cell r="B59">
            <v>177</v>
          </cell>
          <cell r="C59">
            <v>277</v>
          </cell>
          <cell r="E59">
            <v>99</v>
          </cell>
          <cell r="H59">
            <v>1043</v>
          </cell>
          <cell r="I59">
            <v>1219</v>
          </cell>
          <cell r="J59">
            <v>1484</v>
          </cell>
          <cell r="K59">
            <v>1648</v>
          </cell>
        </row>
        <row r="60">
          <cell r="B60">
            <v>8043</v>
          </cell>
          <cell r="C60">
            <v>8685</v>
          </cell>
          <cell r="D60">
            <v>10581</v>
          </cell>
          <cell r="E60">
            <v>10663</v>
          </cell>
          <cell r="F60">
            <v>11924</v>
          </cell>
          <cell r="G60">
            <v>21066</v>
          </cell>
          <cell r="H60">
            <v>20402</v>
          </cell>
          <cell r="I60">
            <v>21554</v>
          </cell>
          <cell r="J60">
            <v>25787</v>
          </cell>
          <cell r="K60">
            <v>28813</v>
          </cell>
        </row>
        <row r="61">
          <cell r="B61">
            <v>14793</v>
          </cell>
          <cell r="C61">
            <v>15706</v>
          </cell>
          <cell r="D61">
            <v>17862</v>
          </cell>
          <cell r="E61">
            <v>18629</v>
          </cell>
          <cell r="F61">
            <v>20153</v>
          </cell>
          <cell r="G61">
            <v>68740</v>
          </cell>
          <cell r="H61">
            <v>70506</v>
          </cell>
          <cell r="I61">
            <v>73077</v>
          </cell>
          <cell r="J61">
            <v>78489</v>
          </cell>
          <cell r="K61">
            <v>79863</v>
          </cell>
        </row>
        <row r="62">
          <cell r="B62">
            <v>3258</v>
          </cell>
          <cell r="C62">
            <v>4419</v>
          </cell>
          <cell r="D62">
            <v>4528</v>
          </cell>
          <cell r="E62">
            <v>4715</v>
          </cell>
          <cell r="F62">
            <v>5479</v>
          </cell>
          <cell r="G62">
            <v>51443</v>
          </cell>
          <cell r="H62">
            <v>51473</v>
          </cell>
          <cell r="I62">
            <v>52678</v>
          </cell>
          <cell r="J62">
            <v>53744</v>
          </cell>
          <cell r="K62">
            <v>54335</v>
          </cell>
        </row>
        <row r="63">
          <cell r="B63">
            <v>408</v>
          </cell>
          <cell r="C63">
            <v>229</v>
          </cell>
          <cell r="D63">
            <v>461</v>
          </cell>
          <cell r="E63">
            <v>406</v>
          </cell>
          <cell r="F63">
            <v>597</v>
          </cell>
          <cell r="G63">
            <v>745</v>
          </cell>
          <cell r="H63">
            <v>1313</v>
          </cell>
          <cell r="I63">
            <v>1132</v>
          </cell>
          <cell r="J63">
            <v>1025</v>
          </cell>
          <cell r="K63">
            <v>1009</v>
          </cell>
        </row>
        <row r="64">
          <cell r="B64">
            <v>2592</v>
          </cell>
          <cell r="C64">
            <v>3794</v>
          </cell>
          <cell r="D64">
            <v>2873</v>
          </cell>
          <cell r="E64">
            <v>2716</v>
          </cell>
          <cell r="F64">
            <v>1255</v>
          </cell>
          <cell r="G64">
            <v>2709</v>
          </cell>
          <cell r="H64">
            <v>3521</v>
          </cell>
          <cell r="I64">
            <v>2882</v>
          </cell>
          <cell r="J64">
            <v>4625</v>
          </cell>
          <cell r="K64">
            <v>3810</v>
          </cell>
        </row>
        <row r="65">
          <cell r="B65">
            <v>8535</v>
          </cell>
          <cell r="C65">
            <v>7264</v>
          </cell>
          <cell r="D65">
            <v>10000</v>
          </cell>
          <cell r="E65">
            <v>10792</v>
          </cell>
          <cell r="F65">
            <v>12822</v>
          </cell>
          <cell r="G65">
            <v>13843</v>
          </cell>
          <cell r="H65">
            <v>14199</v>
          </cell>
          <cell r="I65">
            <v>16385</v>
          </cell>
          <cell r="J65">
            <v>19095</v>
          </cell>
          <cell r="K65">
            <v>20709</v>
          </cell>
        </row>
        <row r="66">
          <cell r="B66">
            <v>14793</v>
          </cell>
          <cell r="C66">
            <v>15706</v>
          </cell>
          <cell r="D66">
            <v>17862</v>
          </cell>
          <cell r="E66">
            <v>18629</v>
          </cell>
          <cell r="F66">
            <v>20153</v>
          </cell>
          <cell r="G66">
            <v>68740</v>
          </cell>
          <cell r="H66">
            <v>70506</v>
          </cell>
          <cell r="I66">
            <v>73077</v>
          </cell>
          <cell r="J66">
            <v>78489</v>
          </cell>
          <cell r="K66">
            <v>79863</v>
          </cell>
        </row>
        <row r="67">
          <cell r="B67">
            <v>1264</v>
          </cell>
          <cell r="C67">
            <v>1085</v>
          </cell>
          <cell r="D67">
            <v>1310</v>
          </cell>
          <cell r="E67">
            <v>1816</v>
          </cell>
          <cell r="F67">
            <v>1149</v>
          </cell>
          <cell r="G67">
            <v>1758</v>
          </cell>
          <cell r="H67">
            <v>2236</v>
          </cell>
          <cell r="I67">
            <v>3079</v>
          </cell>
          <cell r="J67">
            <v>2997</v>
          </cell>
          <cell r="K67">
            <v>3819</v>
          </cell>
        </row>
        <row r="68">
          <cell r="B68">
            <v>2726</v>
          </cell>
          <cell r="C68">
            <v>2541</v>
          </cell>
          <cell r="D68">
            <v>2513</v>
          </cell>
          <cell r="E68">
            <v>2574</v>
          </cell>
          <cell r="F68">
            <v>2767</v>
          </cell>
          <cell r="G68">
            <v>3579</v>
          </cell>
          <cell r="H68">
            <v>4096</v>
          </cell>
          <cell r="I68">
            <v>4251</v>
          </cell>
          <cell r="J68">
            <v>4022</v>
          </cell>
          <cell r="K68">
            <v>4415</v>
          </cell>
        </row>
        <row r="81">
          <cell r="B81">
            <v>42460</v>
          </cell>
          <cell r="C81">
            <v>42825</v>
          </cell>
          <cell r="D81">
            <v>43190</v>
          </cell>
          <cell r="E81">
            <v>43555</v>
          </cell>
          <cell r="F81">
            <v>43921</v>
          </cell>
          <cell r="G81">
            <v>44286</v>
          </cell>
          <cell r="H81">
            <v>44651</v>
          </cell>
          <cell r="I81">
            <v>45016</v>
          </cell>
          <cell r="J81">
            <v>45382</v>
          </cell>
          <cell r="K81">
            <v>45747</v>
          </cell>
        </row>
        <row r="82">
          <cell r="B82">
            <v>4171</v>
          </cell>
          <cell r="C82">
            <v>5185</v>
          </cell>
          <cell r="D82">
            <v>6059</v>
          </cell>
          <cell r="E82">
            <v>5800</v>
          </cell>
          <cell r="F82">
            <v>7623</v>
          </cell>
          <cell r="G82">
            <v>9163</v>
          </cell>
          <cell r="H82">
            <v>9048</v>
          </cell>
          <cell r="I82">
            <v>9991</v>
          </cell>
          <cell r="J82">
            <v>15469</v>
          </cell>
          <cell r="K82">
            <v>11886</v>
          </cell>
        </row>
        <row r="83">
          <cell r="B83">
            <v>-282</v>
          </cell>
          <cell r="C83">
            <v>-1173</v>
          </cell>
          <cell r="D83">
            <v>-1063</v>
          </cell>
          <cell r="E83">
            <v>-438</v>
          </cell>
          <cell r="F83">
            <v>1791</v>
          </cell>
          <cell r="G83">
            <v>-1228</v>
          </cell>
          <cell r="H83">
            <v>-1728</v>
          </cell>
          <cell r="I83">
            <v>-1484</v>
          </cell>
          <cell r="J83">
            <v>-5324</v>
          </cell>
          <cell r="K83">
            <v>6473</v>
          </cell>
        </row>
        <row r="84">
          <cell r="B84">
            <v>-3864</v>
          </cell>
          <cell r="C84">
            <v>-4214</v>
          </cell>
          <cell r="D84">
            <v>-4975</v>
          </cell>
          <cell r="E84">
            <v>-5390</v>
          </cell>
          <cell r="F84">
            <v>-6819</v>
          </cell>
          <cell r="G84">
            <v>-9309</v>
          </cell>
          <cell r="H84">
            <v>-8015</v>
          </cell>
          <cell r="I84">
            <v>-8953</v>
          </cell>
          <cell r="J84">
            <v>-10034</v>
          </cell>
          <cell r="K84">
            <v>-13101</v>
          </cell>
        </row>
        <row r="85">
          <cell r="B85">
            <v>25</v>
          </cell>
          <cell r="C85">
            <v>-202</v>
          </cell>
          <cell r="D85">
            <v>21</v>
          </cell>
          <cell r="E85">
            <v>-28</v>
          </cell>
          <cell r="F85">
            <v>2595</v>
          </cell>
          <cell r="G85">
            <v>-1374</v>
          </cell>
          <cell r="H85">
            <v>-695</v>
          </cell>
          <cell r="I85">
            <v>-446</v>
          </cell>
          <cell r="J85">
            <v>111</v>
          </cell>
          <cell r="K85">
            <v>5258</v>
          </cell>
        </row>
        <row r="90">
          <cell r="B90">
            <v>832.17</v>
          </cell>
          <cell r="C90">
            <v>872.61</v>
          </cell>
          <cell r="D90">
            <v>1276.1099999999999</v>
          </cell>
          <cell r="E90">
            <v>1633.53</v>
          </cell>
          <cell r="F90">
            <v>2199.83</v>
          </cell>
          <cell r="G90">
            <v>2327.12</v>
          </cell>
          <cell r="H90">
            <v>1960.7</v>
          </cell>
          <cell r="I90">
            <v>2450.44</v>
          </cell>
          <cell r="J90">
            <v>2167.14</v>
          </cell>
          <cell r="K90">
            <v>2161.88</v>
          </cell>
        </row>
        <row r="93">
          <cell r="B93">
            <v>216.39</v>
          </cell>
          <cell r="C93">
            <v>216.43</v>
          </cell>
          <cell r="D93">
            <v>216.45</v>
          </cell>
          <cell r="E93">
            <v>216.47</v>
          </cell>
          <cell r="F93">
            <v>216.48</v>
          </cell>
          <cell r="G93">
            <v>234.96</v>
          </cell>
          <cell r="H93">
            <v>234.96</v>
          </cell>
          <cell r="I93">
            <v>234.96</v>
          </cell>
          <cell r="J93">
            <v>234.96</v>
          </cell>
          <cell r="K93">
            <v>234.96</v>
          </cell>
        </row>
      </sheetData>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2">
  <rv s="0">
    <v>https://www.bing.com/financeapi/forcetrigger?t=ahi62w&amp;q=XNSE%3aHINDUNILVR&amp;form=skydnc</v>
    <v>Learn more on Bing</v>
  </rv>
  <rv s="1">
    <v>en-IN</v>
    <v>ahi62w</v>
    <v>268435456</v>
    <v>1</v>
    <v>Powered by Refinitiv</v>
    <v>0</v>
    <v>HINDUSTAN UNILEVER LIMITED (XNSE:HINDUNILVR)</v>
    <v>2</v>
    <v>3</v>
    <v>Finance</v>
    <v>4</v>
    <v>2705.1</v>
    <v>2101.13</v>
    <v>0.76729999999999998</v>
    <v>-16.600000000000001</v>
    <v>-7.0009999999999994E-3</v>
    <v>INR</v>
    <v>Hindustan Unilever Limited is an India-based fast-moving consumer goods company. The Company's segments include Home Care, Beauty &amp; Wellbeing, Personal Care, Foods, and Others (includes Exports, Consignment, etc). Its product categories include skin cleansing, hair care, skin care and color cosmetics, oral care, deodorant and male toiletries, fabric care, household care, nutrition drinks, foods, and beverages. The Company has over 50 brands, including Acne - Squad, Active Wheel 2 in 1, Axe, Boost, Breeze, Brooke Bond 3 Roses, Brooke Bond Red Label, Brooke Bond Taaza, Clinic Plus, Closeup, Comfort, Dermalogica, Domex, Dove, Elle 18, Find Your Happy Place, Glow &amp; Handsome, Glow &amp; Lovely, Hamam, Horlicks, Horlicks Diabetes Plus, Lipton, and Minimalist. Lux is a global brand which offers beauty soaps, shower gels, bath additives, shampoos and others. ELLE 18 brand’s range of cosmetics includes eyeliner, kajal, lipstick, nail polish, compact and foundation.</v>
    <v>18802</v>
    <v>National Stock Exchange of India</v>
    <v>XNSE</v>
    <v>XNSE</v>
    <v>Unilever House,, B D Sawant Marg, Chakala,, Andheri (E), MUMBAI, MAHARASHTRA, 400099 IN</v>
    <v>2423</v>
    <v>Personal &amp; Household Products &amp; Services</v>
    <v>Stock</v>
    <v>46058.467094907406</v>
    <v>0</v>
    <v>2351.6</v>
    <v>5614349000000</v>
    <v>HINDUSTAN UNILEVER LIMITED</v>
    <v>HINDUSTAN UNILEVER LIMITED</v>
    <v>2362.5</v>
    <v>51.17</v>
    <v>2371</v>
    <v>2354.4</v>
    <v>2349591000</v>
    <v>HINDUNILVR</v>
    <v>HINDUSTAN UNILEVER LIMITED (XNSE:HINDUNILVR)</v>
    <v>1962066</v>
    <v>1549230</v>
    <v>1933</v>
  </rv>
  <rv s="2">
    <v>1</v>
  </rv>
  <rv s="0">
    <v>https://www.bing.com/financeapi/forcetrigger?t=ahj63m&amp;q=XNSE%3aNESTLEIND&amp;form=skydnc</v>
    <v>Learn more on Bing</v>
  </rv>
  <rv s="1">
    <v>en-IN</v>
    <v>ahj63m</v>
    <v>268435456</v>
    <v>1</v>
    <v>Powered by Refinitiv</v>
    <v>0</v>
    <v>NESTLE INDIA LIMITED (XNSE:NESTLEIND)</v>
    <v>2</v>
    <v>3</v>
    <v>Finance</v>
    <v>4</v>
    <v>1340.4</v>
    <v>1055</v>
    <v>0.96079999999999999</v>
    <v>0.3</v>
    <v>2.3019999999999998E-4</v>
    <v>INR</v>
    <v>Nestle India Limited is an India-based company that is engaged in the food business. The Company's product categories include milk products and nutrition, prepared dishes and cooking aids, powdered and liquid beverages, and confectionery. Its milk and nutrition products include dairy whitener, condensed milk, ultra heat treatment milk, yoghurt, maternal and infant formula, baby foods, and health care nutrition. Its dishes and cooking aid products include noodles, sauces, seasonings, pasta, cereals and pet food. Its powdered and liquid beverages include instant coffee, instant tea and ready to drink beverages. The Company's confectionery products include bar count lines, tablets and sugar confectionery. The Company's brands include NESCAFE, MAGGI, MILKYBAR, KIT KAT, MUNCH, MILKMAID, GERBER and LACTOGROW. Its coffee products include NESCAFE Classic, NESCAFE Sunrise and NESCAFE GOLD. Its pet food portfolio includes PURINA Friskies and PURINA Fancy Feast in the dry and wet cat food range.</v>
    <v>8419</v>
    <v>National Stock Exchange of India</v>
    <v>XNSE</v>
    <v>XNSE</v>
    <v>Nestle House, Jacaranda Marg M Block, DLF City Phase II, National Highway 8, GURGAON, HARYANA, 122002 IN</v>
    <v>1310.5999999999999</v>
    <v>Food &amp; Tobacco</v>
    <v>Stock</v>
    <v>46058.50203703704</v>
    <v>3</v>
    <v>1287</v>
    <v>2542868000000</v>
    <v>NESTLE INDIA LIMITED</v>
    <v>NESTLE INDIA LIMITED</v>
    <v>1304.8</v>
    <v>77.040000000000006</v>
    <v>1303.2</v>
    <v>1303.5</v>
    <v>1928314000</v>
    <v>NESTLEIND</v>
    <v>NESTLE INDIA LIMITED (XNSE:NESTLEIND)</v>
    <v>854891</v>
    <v>1474940</v>
    <v>1959</v>
  </rv>
  <rv s="2">
    <v>4</v>
  </rv>
  <rv s="0">
    <v>https://www.bing.com/financeapi/forcetrigger?t=ahie2w&amp;q=XNSE%3aITC&amp;form=skydnc</v>
    <v>Learn more on Bing</v>
  </rv>
  <rv s="1">
    <v>en-IN</v>
    <v>ahie2w</v>
    <v>268435456</v>
    <v>1</v>
    <v>Powered by Refinitiv</v>
    <v>0</v>
    <v>ITC LIMITED (XNSE:ITC)</v>
    <v>2</v>
    <v>3</v>
    <v>Finance</v>
    <v>4</v>
    <v>465.2</v>
    <v>302</v>
    <v>0.88400000000000001</v>
    <v>-3.65</v>
    <v>-1.163E-2</v>
    <v>INR</v>
    <v>ITC Limited is an India-based diversified conglomerate company. The Company’s segments include Fast Moving Consumer Goods (FMCG), Paperboards, Paper and Packaging, and Agri Business. The FMCG segment comprises products, such as cigarettes, cigars, education and stationery supplies, personal care items, safety matches, agarbattis, and branded packaged foods, which include staples and meals, snacks, dairy and beverages, biscuits and cakes, chocolates, coffee, and confectionery. The Paperboards, Paper and Packaging segment includes specialty paper and flexible packaging. The Agri Business segment involves trading of agricultural commodities such as wheat, rice, spices, coffee, soya, and leaf tobacco. Its FMCG brands include Aashirvaad, Sunfeast, Yippee!, Bingo!, B Natural, 24 Mantra Organic, ITC Master Chef, Fabelle, Sunbean, Fiama, Vivel, Savlon, Classmate, Paperkraft, Mangaldeep, and others. Its personal care brands feature EDW Essenza, Dermafique, Fiama, Vivel, Engage, and others.</v>
    <v>22041</v>
    <v>National Stock Exchange of India</v>
    <v>XNSE</v>
    <v>XNSE</v>
    <v>Virginia House, 37 Jawaharlal Nehru Road, KOLKATA, WEST BENGAL, 700071 IN</v>
    <v>315.35000000000002</v>
    <v>Food &amp; Tobacco</v>
    <v>Stock</v>
    <v>46058.467094907406</v>
    <v>6</v>
    <v>309.3</v>
    <v>4193443000000</v>
    <v>ITC LIMITED</v>
    <v>ITC LIMITED</v>
    <v>313.95</v>
    <v>19.29</v>
    <v>313.85000000000002</v>
    <v>310.2</v>
    <v>12529230000</v>
    <v>ITC</v>
    <v>ITC LIMITED (XNSE:ITC)</v>
    <v>15816704</v>
    <v>27938790</v>
    <v>1910</v>
  </rv>
  <rv s="2">
    <v>7</v>
  </rv>
  <rv s="0">
    <v>https://www.bing.com/financeapi/forcetrigger?t=ahhhk2&amp;q=XNSE%3aDABUR&amp;form=skydnc</v>
    <v>Learn more on Bing</v>
  </rv>
  <rv s="1">
    <v>en-IN</v>
    <v>ahhhk2</v>
    <v>268435456</v>
    <v>1</v>
    <v>Powered by Refinitiv</v>
    <v>0</v>
    <v>DABUR INDIA LIMITED (XNSE:DABUR)</v>
    <v>2</v>
    <v>3</v>
    <v>Finance</v>
    <v>4</v>
    <v>577</v>
    <v>433.3</v>
    <v>0.63670000000000004</v>
    <v>3.1</v>
    <v>6.1850000000000004E-3</v>
    <v>INR</v>
    <v>Dabur India Limited is a fast-moving consumer goods (FMCG) company. Its segments include Consumer care business, Food business, and Other segments. Its Consumer care business segment includes home care, personal care, and health care. Its Food business segment includes juices, beverages, and culinary. Its Other segments include Guar gum, pharma and others. Its product categories include hair care, oral care, health care, skin care, home care, energizers, cold and cough, digestives, and ethicals. Its health supplements portfolio includes Dabur Chyawanprash, Dabur Honey, Dabur Giloy Neem Juice with Tulsi, and others. Its oral care portfolio includes Dabur Red Paste, Dabur Meswak, Dabur Babool, and Dabur Herb'l. Its foods portfolio includes Real Fruit Power Juices, Real Activ 100% Juices, Hommade, and Real Milkshakes. Its skin care portfolio includes Fem, Oxylife, and Gulabari. Its ethicals portfolio includes Ashokarishta, Dashmularishta, Lavanbhaskar Churna, and Dabur Shwaasamrit.</v>
    <v>5343</v>
    <v>National Stock Exchange of India</v>
    <v>XNSE</v>
    <v>XNSE</v>
    <v>Dabur Corporate Office, Kaushambi, Sahibabad, GHAZIABAD, UTTAR PRADESH, 201010 IN</v>
    <v>507.9</v>
    <v>Personal &amp; Household Products &amp; Services</v>
    <v>Stock</v>
    <v>46058.467094907406</v>
    <v>9</v>
    <v>499.35</v>
    <v>925954900000</v>
    <v>DABUR INDIA LIMITED</v>
    <v>DABUR INDIA LIMITED</v>
    <v>501.55</v>
    <v>48.12</v>
    <v>501.2</v>
    <v>504.3</v>
    <v>1773690000</v>
    <v>DABUR</v>
    <v>DABUR INDIA LIMITED (XNSE:DABUR)</v>
    <v>1537272</v>
    <v>2223100</v>
    <v>1975</v>
  </rv>
  <rv s="2">
    <v>10</v>
  </rv>
  <rv s="0">
    <v>https://www.bing.com/financeapi/forcetrigger?t=ahiw4c&amp;q=XNSE%3aMARICO&amp;form=skydnc</v>
    <v>Learn more on Bing</v>
  </rv>
  <rv s="1">
    <v>en-IN</v>
    <v>ahiw4c</v>
    <v>268435456</v>
    <v>1</v>
    <v>Powered by Refinitiv</v>
    <v>0</v>
    <v>MARICO LIMITED (XNSE:MARICO)</v>
    <v>2</v>
    <v>3</v>
    <v>Finance</v>
    <v>4</v>
    <v>780</v>
    <v>577.85</v>
    <v>0.61240000000000006</v>
    <v>14.9</v>
    <v>2.0316000000000001E-2</v>
    <v>INR</v>
    <v>Marico Limited is an India-based consumer goods company operating in the global beauty and wellness categories. The Company operates in product categories such as Coconut Oil, Refined Edible Oils, Value Added Hair Oils, Leave-in Hair Conditioners, Male Grooming and Packaged Foods, among others. Its product portfolio caters to a diverse range of consumer needs and preferences, ranging from hair nourishment and styling to nutrition, immunity, and healthy snacking. The Company manufactures and markets products under the brands such as Parachute, Saffola, Saffola FITTIFY, Hair &amp; Care, Parachute Advansed, Nihar Naturals, Mediker, Pure Sense, Coco Soul, Revive, Set Wet, Livon, Beardo, Just Herbs, True Elements and Plix. The Company's international product portfolio includes brands, such as Parachute, Parachute Advansed, HairCode, Fiancee, Purite de Provence, oliv, Caivil, Hercules, Black Chic, Code 10, Ingwe, X-Men, Thuan Phat and IsoPlus.</v>
    <v>1908</v>
    <v>National Stock Exchange of India</v>
    <v>XNSE</v>
    <v>XNSE</v>
    <v>7th Floor, Grande Palladium, 175,CST Road, Kalina,, Santacruz (East), MUMBAI, MAHARASHTRA, 400098 IN</v>
    <v>749.65</v>
    <v>Food &amp; Tobacco</v>
    <v>Stock</v>
    <v>46058.467106481483</v>
    <v>12</v>
    <v>731.5</v>
    <v>978865100000</v>
    <v>MARICO LIMITED</v>
    <v>MARICO LIMITED</v>
    <v>738</v>
    <v>55.38</v>
    <v>733.4</v>
    <v>748.3</v>
    <v>1295292000</v>
    <v>MARICO</v>
    <v>MARICO LIMITED (XNSE:MARICO)</v>
    <v>2400386</v>
    <v>2534550</v>
    <v>1988</v>
  </rv>
  <rv s="2">
    <v>13</v>
  </rv>
  <rv s="0">
    <v>http://en.wikipedia.org/wiki/Public_domain</v>
    <v>Public domain</v>
  </rv>
  <rv s="0">
    <v>http://en.wikipedia.org/wiki/Godrej_Industries_Ltd</v>
    <v>Wikipedia</v>
  </rv>
  <rv s="3">
    <v>15</v>
    <v>16</v>
  </rv>
  <rv s="4">
    <v>9</v>
    <v>https://www.bing.com/th?id=AMMS_e525c969987dbf262d221e1870f54033&amp;qlt=95</v>
    <v>17</v>
    <v>0</v>
    <v>https://www.bing.com/images/search?form=xlimg&amp;q=godrej+industries+ltd</v>
    <v>Image of GODREJ INDUSTRIES LIMITED</v>
  </rv>
  <rv s="0">
    <v>https://www.bing.com/financeapi/forcetrigger?t=ahhx8m&amp;q=XNSE%3aGODREJIND&amp;form=skydnc</v>
    <v>Learn more on Bing</v>
  </rv>
  <rv s="5">
    <v>en-IN</v>
    <v>ahhx8m</v>
    <v>268435456</v>
    <v>1</v>
    <v>Powered by Refinitiv</v>
    <v>5</v>
    <v>GODREJ INDUSTRIES LIMITED (XNSE:GODREJIND)</v>
    <v>7</v>
    <v>8</v>
    <v>Finance</v>
    <v>4</v>
    <v>1390</v>
    <v>766</v>
    <v>0.60629999999999995</v>
    <v>-10.25</v>
    <v>-1.0165E-2</v>
    <v>INR</v>
    <v>Godrej Industries Limited is a holding company. The Company's segments include Chemicals, Animal Feeds, Veg Oils, Estate and Property Development, Finance and Investments, Dairy, Crop Protection, Hospitality, and Others. Chemicals segment includes the business of production and sale of oleochemicals and surfactants, such as, fatty alcohols, esters and waxes, refined glycerin, sodium lauryl sulphate and sodium lauryl ether sulphate. Animal Feed segment includes the business of production and sale of compound feeds for cattle, poultry, shrimp and fish. Veg Oils segment includes the business of processing and bulk trading of refined vegetable oils and vanaspati, international vegetable oil trading and oil palm plantation. Estate and property development segment includes the business of development and sale of real estate and leasing and leave and licensing of properties. Finance and Investments includes financial services and investments in associates companies and other investments.</v>
    <v>1148</v>
    <v>National Stock Exchange of India</v>
    <v>XNSE</v>
    <v>XNSE</v>
    <v>Godrej One, Pirojshanagar, Eastern Express Highway, Vikhroli (East),, MUMBAI, MAHARASHTRA, 400079 IN</v>
    <v>1025.95</v>
    <v>18</v>
    <v>Consumer Goods Conglomerates</v>
    <v>Stock</v>
    <v>46058.467118055552</v>
    <v>19</v>
    <v>992</v>
    <v>337074300000</v>
    <v>GODREJ INDUSTRIES LIMITED</v>
    <v>GODREJ INDUSTRIES LIMITED</v>
    <v>1025.55</v>
    <v>35.26</v>
    <v>1008.35</v>
    <v>998.1</v>
    <v>336804800</v>
    <v>GODREJIND</v>
    <v>GODREJ INDUSTRIES LIMITED (XNSE:GODREJIND)</v>
    <v>25361</v>
    <v>56650</v>
    <v>1988</v>
  </rv>
  <rv s="2">
    <v>20</v>
  </rv>
</rvData>
</file>

<file path=xl/richData/rdrichvaluestructure.xml><?xml version="1.0" encoding="utf-8"?>
<rvStructures xmlns="http://schemas.microsoft.com/office/spreadsheetml/2017/richdata" count="6">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0">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0</v>
      <v>0</v>
    </spb>
    <spb s="6">
      <v>6</v>
      <v>1</v>
      <v>1</v>
      <v>1</v>
      <v>1</v>
    </spb>
    <spb s="7">
      <v>1</v>
      <v>2</v>
      <v>2</v>
      <v>1</v>
      <v>3</v>
      <v>1</v>
      <v>10</v>
      <v>1</v>
      <v>1</v>
      <v>4</v>
      <v>4</v>
      <v>5</v>
      <v>6</v>
      <v>1</v>
      <v>1</v>
      <v>1</v>
      <v>4</v>
      <v>7</v>
      <v>8</v>
      <v>9</v>
      <v>4</v>
    </spb>
    <spb s="8">
      <v>Powered by Refinitiv</v>
    </spb>
  </spbData>
</supportingPropertyBags>
</file>

<file path=xl/richData/rdsupportingpropertybagstructure.xml><?xml version="1.0" encoding="utf-8"?>
<spbStructures xmlns="http://schemas.microsoft.com/office/spreadsheetml/2017/richdata2" count="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27" formatCode="dd/mm/yyyy\ hh:mm"/>
    </x:dxf>
    <x:dxf>
      <x:numFmt numFmtId="2" formatCode="0.00"/>
    </x:dxf>
    <x:dxf>
      <x:numFmt numFmtId="1" formatCode="0"/>
    </x:dxf>
  </dxfs>
  <richProperties>
    <rPr n="NumberFormat" t="s"/>
    <rPr n="IsTitleField" t="b"/>
    <rPr n="IsHeroField" t="b"/>
  </richProperties>
  <richStyles>
    <rSty dxfid="0">
      <rpv i="0" xml:space="preserve">_ [$₹-en-IN] * #,##0.00_ ;_ [$₹-en-IN] * -#,##0.00_ ;_ [$₹-en-IN] * "-"??_ ;_ @_ </rpv>
    </rSty>
    <rSty dxfid="1">
      <rpv i="0">#,##0.00</rpv>
    </rSty>
    <rSty>
      <rpv i="1">1</rpv>
    </rSty>
    <rSty dxfid="2">
      <rpv i="0">#,##0</rpv>
    </rSty>
    <rSty dxfid="3"/>
    <rSty dxfid="0">
      <rpv i="0" xml:space="preserve">_ [$₹-en-IN] * #,##0_ ;_ [$₹-en-IN] * -#,##0_ ;_ [$₹-en-IN] * "-"_ ;_ @_ </rpv>
    </rSty>
    <rSty dxfid="4"/>
    <rSty dxfid="6">
      <rpv i="0">0</rpv>
    </rSty>
    <rSty dxfid="5">
      <rpv i="0">0.00</rpv>
    </rSty>
    <rSty>
      <rpv i="2">1</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EACAD8-3881-4F30-9C1F-685C93171EC6}" name="Annual" displayName="Annual" ref="A3:N19" headerRowCount="0" totalsRowShown="0" headerRowDxfId="30">
  <tableColumns count="14">
    <tableColumn id="1" xr3:uid="{271F9F27-FB93-40A8-8125-D344BCD873A1}" name="Column1" headerRowDxfId="29" dataDxfId="28"/>
    <tableColumn id="2" xr3:uid="{6C0E03C8-4BC5-4E70-BB36-74E2FA9B2BEC}" name="Column2" headerRowDxfId="27"/>
    <tableColumn id="3" xr3:uid="{78E9466E-4C56-4B2B-A52D-60C07074C92A}" name="Column3" headerRowDxfId="26"/>
    <tableColumn id="4" xr3:uid="{77DF8C21-355F-4290-8ACB-DF2FFD20237A}" name="Column4" headerRowDxfId="25"/>
    <tableColumn id="5" xr3:uid="{85E932EC-619B-4D65-9048-A90C526D18A8}" name="Column5" headerRowDxfId="24"/>
    <tableColumn id="6" xr3:uid="{EE518667-7563-4CBD-8723-B01D9EFAAAA4}" name="Column6" headerRowDxfId="23"/>
    <tableColumn id="7" xr3:uid="{CE2D5EEF-8F6F-484F-9E25-D5AA73173464}" name="Column7" headerRowDxfId="22"/>
    <tableColumn id="8" xr3:uid="{9D66AFAE-5F03-48F7-A02A-AD810FCB8C2B}" name="Column8" headerRowDxfId="21"/>
    <tableColumn id="9" xr3:uid="{0A0413A9-8FA7-41A0-B025-4162C633FEF1}" name="Column9" headerRowDxfId="20"/>
    <tableColumn id="10" xr3:uid="{4BEEECFC-6778-4308-A79F-66E8EEBECE4B}" name="Column10" headerRowDxfId="19"/>
    <tableColumn id="11" xr3:uid="{8E3621A1-EB49-474F-9767-F0507C371558}" name="Column11" headerRowDxfId="18"/>
    <tableColumn id="12" xr3:uid="{ED66DDB7-4677-420A-85E4-2AEAF61A8101}" name="Column12" headerRowDxfId="17"/>
    <tableColumn id="13" xr3:uid="{DF4CCF0E-8913-4B2A-B7BC-3A7F44D0419A}" name="Column13" headerRowDxfId="16" dataDxfId="15"/>
    <tableColumn id="14" xr3:uid="{BC55E315-FC9A-486E-9FC9-1D3AD5C2CCB1}"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4FFCBF-CD8D-4330-8121-45F5685C6360}" name="Quarters" displayName="Quarters" ref="A3:K14" headerRowCount="0" totalsRowShown="0" headerRowDxfId="12">
  <tableColumns count="11">
    <tableColumn id="1" xr3:uid="{B8918813-C50B-44C5-BB52-8F097D7BC0FE}" name="Column1" headerRowDxfId="11"/>
    <tableColumn id="2" xr3:uid="{8E6AB71A-1A85-46FC-AD63-324179F2352E}" name="Column2" headerRowDxfId="10"/>
    <tableColumn id="3" xr3:uid="{F55F1988-4DD9-4B02-990A-61B904757306}" name="Column3" headerRowDxfId="9"/>
    <tableColumn id="4" xr3:uid="{0525E16B-4097-438E-B43B-FAE196BC4AA2}" name="Column4" headerRowDxfId="8"/>
    <tableColumn id="5" xr3:uid="{ACAF03E6-EB58-42CD-81F7-677884A472D6}" name="Column5" headerRowDxfId="7"/>
    <tableColumn id="6" xr3:uid="{6F75D07C-BB08-4ADA-B8E0-61CF6271EEAC}" name="Column6" headerRowDxfId="6"/>
    <tableColumn id="7" xr3:uid="{46ED3973-4E3B-48E6-95F0-0A3A0F86067D}" name="Column7" headerRowDxfId="5"/>
    <tableColumn id="8" xr3:uid="{8F173144-E8ED-4301-B194-C63146DC80FA}" name="Column8" headerRowDxfId="4"/>
    <tableColumn id="9" xr3:uid="{F40B0490-5745-44AC-AC7E-677E6E2729F1}" name="Column9" headerRowDxfId="3"/>
    <tableColumn id="10" xr3:uid="{47E8766D-E381-4D8E-A707-50DE04AD7A04}" name="Column10" headerRowDxfId="2"/>
    <tableColumn id="11" xr3:uid="{1F888BD6-365C-4AA0-923D-7E4F1F019FC5}" name="Column11" headerRowDxfId="1"/>
  </tableColumns>
  <tableStyleInfo name="TableStyleLight1"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nseindia.com/static/market-data/securities-available-for-trading" TargetMode="External"/><Relationship Id="rId1" Type="http://schemas.openxmlformats.org/officeDocument/2006/relationships/hyperlink" Target="https://ticker.finology.in/?utm_source=chatgpt.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07BAB-69F5-47CE-BE75-F39054E87882}">
  <sheetPr>
    <tabColor theme="9"/>
  </sheetPr>
  <dimension ref="A2:R21"/>
  <sheetViews>
    <sheetView showGridLines="0" zoomScaleNormal="100" workbookViewId="0">
      <selection activeCell="B4" sqref="B4"/>
    </sheetView>
  </sheetViews>
  <sheetFormatPr defaultRowHeight="14.4" x14ac:dyDescent="0.3"/>
  <cols>
    <col min="1" max="1" width="3.5546875" style="3" customWidth="1"/>
  </cols>
  <sheetData>
    <row r="2" spans="1:18" s="1" customFormat="1" ht="21" x14ac:dyDescent="0.4">
      <c r="A2" s="5"/>
      <c r="B2" s="2" t="s">
        <v>10</v>
      </c>
    </row>
    <row r="3" spans="1:18" x14ac:dyDescent="0.3">
      <c r="B3" s="130" t="s">
        <v>93</v>
      </c>
    </row>
    <row r="4" spans="1:18" x14ac:dyDescent="0.3">
      <c r="B4" s="130" t="s">
        <v>94</v>
      </c>
    </row>
    <row r="5" spans="1:18" x14ac:dyDescent="0.3">
      <c r="B5" s="130" t="s">
        <v>95</v>
      </c>
    </row>
    <row r="7" spans="1:18" x14ac:dyDescent="0.3">
      <c r="B7" s="6" t="s">
        <v>11</v>
      </c>
      <c r="C7" s="6"/>
      <c r="D7" s="6"/>
      <c r="E7" s="6"/>
      <c r="F7" s="6"/>
      <c r="G7" s="6"/>
      <c r="H7" s="6"/>
      <c r="I7" s="6"/>
      <c r="J7" s="6"/>
      <c r="K7" s="6"/>
      <c r="L7" s="6"/>
      <c r="M7" s="6"/>
      <c r="N7" s="6"/>
      <c r="O7" s="6"/>
      <c r="P7" s="6"/>
      <c r="Q7" s="6"/>
      <c r="R7" s="6"/>
    </row>
    <row r="8" spans="1:18" x14ac:dyDescent="0.3">
      <c r="B8" s="98"/>
      <c r="C8" s="98"/>
      <c r="D8" s="98"/>
      <c r="E8" s="98"/>
      <c r="F8" s="98"/>
      <c r="G8" s="98"/>
      <c r="H8" s="98"/>
      <c r="I8" s="98"/>
      <c r="J8" s="98"/>
      <c r="K8" s="98"/>
      <c r="L8" s="98"/>
      <c r="M8" s="98"/>
      <c r="N8" s="98"/>
      <c r="O8" s="98"/>
      <c r="P8" s="98"/>
      <c r="Q8" s="98"/>
      <c r="R8" s="98"/>
    </row>
    <row r="9" spans="1:18" x14ac:dyDescent="0.3">
      <c r="B9" s="99" t="s">
        <v>8</v>
      </c>
      <c r="C9" s="100"/>
      <c r="D9" s="101" t="e">
        <f>HYPERLINK(
"https://finance.yahoo.com/quote/"&amp;SUBSTITUTE(#REF!," ","")&amp;"/analysis",
"Growth Expectations (Yahoo)")</f>
        <v>#REF!</v>
      </c>
      <c r="E9" s="100"/>
      <c r="F9" s="100"/>
      <c r="G9" s="100"/>
      <c r="H9" s="100"/>
      <c r="I9" s="100"/>
      <c r="J9" s="100"/>
      <c r="K9" s="100"/>
      <c r="L9" s="100"/>
      <c r="M9" s="100"/>
      <c r="N9" s="100"/>
      <c r="O9" s="100"/>
      <c r="P9" s="100"/>
      <c r="Q9" s="100"/>
      <c r="R9" s="100"/>
    </row>
    <row r="10" spans="1:18" x14ac:dyDescent="0.3">
      <c r="B10" t="s">
        <v>96</v>
      </c>
    </row>
    <row r="11" spans="1:18" x14ac:dyDescent="0.3">
      <c r="B11" t="s">
        <v>97</v>
      </c>
    </row>
    <row r="12" spans="1:18" x14ac:dyDescent="0.3">
      <c r="B12" t="s">
        <v>98</v>
      </c>
    </row>
    <row r="13" spans="1:18" x14ac:dyDescent="0.3">
      <c r="B13" t="s">
        <v>99</v>
      </c>
    </row>
    <row r="14" spans="1:18" x14ac:dyDescent="0.3">
      <c r="B14" t="s">
        <v>100</v>
      </c>
    </row>
    <row r="16" spans="1:18" x14ac:dyDescent="0.3">
      <c r="B16" s="99" t="s">
        <v>9</v>
      </c>
      <c r="C16" s="100"/>
      <c r="D16" s="101" t="e">
        <f>HYPERLINK(
"https://finance.yahoo.com/quote/"&amp;SUBSTITUTE(#REF!," ","")&amp;"/analysis",
"Bear Signals &amp; Red Flags")</f>
        <v>#REF!</v>
      </c>
      <c r="E16" s="100"/>
      <c r="F16" s="100"/>
      <c r="G16" s="100"/>
      <c r="H16" s="100"/>
      <c r="I16" s="100"/>
      <c r="J16" s="100"/>
      <c r="K16" s="100"/>
      <c r="L16" s="100"/>
      <c r="M16" s="100"/>
      <c r="N16" s="100"/>
      <c r="O16" s="100"/>
      <c r="P16" s="100"/>
      <c r="Q16" s="100"/>
      <c r="R16" s="100"/>
    </row>
    <row r="17" spans="2:2" x14ac:dyDescent="0.3">
      <c r="B17" t="s">
        <v>101</v>
      </c>
    </row>
    <row r="18" spans="2:2" x14ac:dyDescent="0.3">
      <c r="B18" t="s">
        <v>102</v>
      </c>
    </row>
    <row r="19" spans="2:2" x14ac:dyDescent="0.3">
      <c r="B19" t="s">
        <v>103</v>
      </c>
    </row>
    <row r="20" spans="2:2" x14ac:dyDescent="0.3">
      <c r="B20" t="s">
        <v>104</v>
      </c>
    </row>
    <row r="21" spans="2:2" x14ac:dyDescent="0.3">
      <c r="B21" t="s">
        <v>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E92AA-7D2A-4156-A100-77D7F7043BB0}">
  <sheetPr>
    <tabColor theme="9"/>
  </sheetPr>
  <dimension ref="B2:AC20"/>
  <sheetViews>
    <sheetView showGridLines="0" topLeftCell="A3" zoomScale="85" zoomScaleNormal="85" workbookViewId="0">
      <selection activeCell="E9" sqref="E9"/>
    </sheetView>
  </sheetViews>
  <sheetFormatPr defaultRowHeight="14.4" outlineLevelCol="2" x14ac:dyDescent="0.3"/>
  <cols>
    <col min="2" max="2" width="30.33203125" customWidth="1"/>
    <col min="3" max="3" width="24.109375" customWidth="1"/>
    <col min="4" max="4" width="11.5546875" customWidth="1"/>
    <col min="5" max="5" width="13.21875" customWidth="1"/>
    <col min="6" max="6" width="13.109375" customWidth="1"/>
    <col min="7" max="7" width="19" bestFit="1" customWidth="1"/>
    <col min="8" max="8" width="12.109375" customWidth="1"/>
    <col min="9" max="15" width="8.88671875" outlineLevel="1"/>
    <col min="17" max="17" width="11.44140625" customWidth="1" outlineLevel="2"/>
    <col min="18" max="18" width="11.33203125" customWidth="1" outlineLevel="2"/>
    <col min="19" max="22" width="8.88671875" customWidth="1" outlineLevel="2"/>
    <col min="24" max="29" width="8.88671875" outlineLevel="1"/>
  </cols>
  <sheetData>
    <row r="2" spans="2:29" ht="21" x14ac:dyDescent="0.4">
      <c r="B2" s="2" t="s">
        <v>81</v>
      </c>
      <c r="C2" s="1"/>
      <c r="D2" s="60" t="s">
        <v>15</v>
      </c>
      <c r="E2" s="61">
        <f ca="1">TODAY()</f>
        <v>46059</v>
      </c>
      <c r="F2" s="62"/>
      <c r="G2" s="60" t="s">
        <v>82</v>
      </c>
      <c r="H2" s="63" t="s">
        <v>83</v>
      </c>
      <c r="I2" s="1"/>
      <c r="J2" s="1"/>
      <c r="K2" s="1"/>
      <c r="L2" s="1"/>
      <c r="M2" s="1"/>
      <c r="N2" s="1"/>
      <c r="O2" s="1"/>
      <c r="P2" s="1"/>
      <c r="Q2" s="1"/>
      <c r="R2" s="62"/>
      <c r="S2" s="1"/>
      <c r="T2" s="1"/>
      <c r="U2" s="62"/>
      <c r="V2" s="1"/>
      <c r="W2" s="1"/>
      <c r="X2" s="1"/>
      <c r="Y2" s="1"/>
      <c r="Z2" s="1"/>
      <c r="AA2" s="1"/>
      <c r="AB2" s="1"/>
      <c r="AC2" s="1"/>
    </row>
    <row r="4" spans="2:29" x14ac:dyDescent="0.3">
      <c r="E4" s="64" t="s">
        <v>84</v>
      </c>
      <c r="F4" s="64" t="s">
        <v>84</v>
      </c>
      <c r="G4" s="64" t="s">
        <v>84</v>
      </c>
      <c r="I4" s="64" t="s">
        <v>84</v>
      </c>
      <c r="J4" s="64" t="s">
        <v>84</v>
      </c>
      <c r="K4" s="64" t="s">
        <v>84</v>
      </c>
      <c r="L4" s="64" t="s">
        <v>84</v>
      </c>
      <c r="M4" s="64" t="s">
        <v>84</v>
      </c>
      <c r="N4" s="64" t="s">
        <v>84</v>
      </c>
      <c r="O4" s="64" t="s">
        <v>84</v>
      </c>
    </row>
    <row r="5" spans="2:29" ht="17.399999999999999" x14ac:dyDescent="0.3">
      <c r="B5" s="89"/>
      <c r="C5" s="90"/>
      <c r="D5" s="91"/>
      <c r="E5" s="91"/>
      <c r="F5" s="91"/>
      <c r="G5" s="91"/>
      <c r="H5" s="91"/>
      <c r="I5" s="91"/>
      <c r="J5" s="91"/>
      <c r="K5" s="91"/>
      <c r="L5" s="91"/>
      <c r="M5" s="91"/>
      <c r="N5" s="91"/>
      <c r="O5" s="91"/>
      <c r="P5" s="91"/>
      <c r="Q5" s="91"/>
      <c r="R5" s="91"/>
      <c r="S5" s="91"/>
      <c r="T5" s="91"/>
      <c r="U5" s="91"/>
      <c r="V5" s="91"/>
      <c r="W5" s="91"/>
      <c r="X5" s="92" t="s">
        <v>16</v>
      </c>
      <c r="Y5" s="92"/>
      <c r="Z5" s="92"/>
      <c r="AA5" s="92"/>
      <c r="AB5" s="92"/>
      <c r="AC5" s="92"/>
    </row>
    <row r="6" spans="2:29" ht="17.399999999999999" x14ac:dyDescent="0.3">
      <c r="B6" s="89"/>
      <c r="C6" s="89"/>
      <c r="D6" s="91" t="s">
        <v>19</v>
      </c>
      <c r="E6" s="91" t="s">
        <v>85</v>
      </c>
      <c r="F6" s="91" t="s">
        <v>18</v>
      </c>
      <c r="G6" s="91" t="s">
        <v>17</v>
      </c>
      <c r="H6" s="92"/>
      <c r="I6" s="92" t="s">
        <v>44</v>
      </c>
      <c r="J6" s="92"/>
      <c r="K6" s="92"/>
      <c r="L6" s="92" t="s">
        <v>13</v>
      </c>
      <c r="M6" s="92"/>
      <c r="N6" s="92" t="s">
        <v>12</v>
      </c>
      <c r="O6" s="92"/>
      <c r="P6" s="91"/>
      <c r="Q6" s="92" t="s">
        <v>21</v>
      </c>
      <c r="R6" s="92"/>
      <c r="S6" s="92" t="s">
        <v>22</v>
      </c>
      <c r="T6" s="92"/>
      <c r="U6" s="92" t="s">
        <v>23</v>
      </c>
      <c r="V6" s="92"/>
      <c r="W6" s="91"/>
      <c r="X6" s="92" t="s">
        <v>24</v>
      </c>
      <c r="Y6" s="92"/>
      <c r="Z6" s="92" t="s">
        <v>25</v>
      </c>
      <c r="AA6" s="92"/>
      <c r="AB6" s="92" t="s">
        <v>26</v>
      </c>
      <c r="AC6" s="92"/>
    </row>
    <row r="7" spans="2:29" ht="15.6" x14ac:dyDescent="0.3">
      <c r="B7" s="93" t="s">
        <v>27</v>
      </c>
      <c r="C7" s="93" t="s">
        <v>28</v>
      </c>
      <c r="D7" s="94" t="s">
        <v>20</v>
      </c>
      <c r="E7" s="94" t="s">
        <v>86</v>
      </c>
      <c r="F7" s="94" t="s">
        <v>30</v>
      </c>
      <c r="G7" s="94" t="s">
        <v>29</v>
      </c>
      <c r="H7" s="95"/>
      <c r="I7" s="95">
        <v>2025</v>
      </c>
      <c r="J7" s="95">
        <f>I7-1</f>
        <v>2024</v>
      </c>
      <c r="K7" s="95">
        <f>J7-1</f>
        <v>2023</v>
      </c>
      <c r="L7" s="95">
        <f>J7</f>
        <v>2024</v>
      </c>
      <c r="M7" s="95">
        <f>K7</f>
        <v>2023</v>
      </c>
      <c r="N7" s="95">
        <f>L7</f>
        <v>2024</v>
      </c>
      <c r="O7" s="95">
        <f>M7</f>
        <v>2023</v>
      </c>
      <c r="P7" s="94"/>
      <c r="Q7" s="95" t="str">
        <f>_xlfn.CONCAT(I7,"-",J7)</f>
        <v>2025-2024</v>
      </c>
      <c r="R7" s="95" t="str">
        <f>_xlfn.CONCAT(J7,"-",K7)</f>
        <v>2024-2023</v>
      </c>
      <c r="S7" s="95">
        <f>J7</f>
        <v>2024</v>
      </c>
      <c r="T7" s="95">
        <f>K7</f>
        <v>2023</v>
      </c>
      <c r="U7" s="95">
        <f>S7</f>
        <v>2024</v>
      </c>
      <c r="V7" s="95">
        <f>T7</f>
        <v>2023</v>
      </c>
      <c r="W7" s="95"/>
      <c r="X7" s="95">
        <f>J7</f>
        <v>2024</v>
      </c>
      <c r="Y7" s="95">
        <f>K7</f>
        <v>2023</v>
      </c>
      <c r="Z7" s="95">
        <f>J7</f>
        <v>2024</v>
      </c>
      <c r="AA7" s="95">
        <f>K7</f>
        <v>2023</v>
      </c>
      <c r="AB7" s="95">
        <f>J7</f>
        <v>2024</v>
      </c>
      <c r="AC7" s="95">
        <f>K7</f>
        <v>2023</v>
      </c>
    </row>
    <row r="8" spans="2:29" ht="15.6" x14ac:dyDescent="0.3">
      <c r="B8" s="65"/>
      <c r="C8" s="65"/>
      <c r="D8" s="66"/>
      <c r="E8" s="66"/>
      <c r="F8" s="66"/>
      <c r="G8" s="66"/>
      <c r="H8" s="66"/>
      <c r="I8" s="66"/>
      <c r="J8" s="66"/>
      <c r="K8" s="66"/>
      <c r="L8" s="66"/>
      <c r="M8" s="66"/>
      <c r="N8" s="66"/>
      <c r="O8" s="66"/>
      <c r="P8" s="66"/>
      <c r="Q8" s="67"/>
      <c r="R8" s="67"/>
      <c r="S8" s="67"/>
      <c r="T8" s="67"/>
      <c r="U8" s="67"/>
      <c r="V8" s="67"/>
      <c r="W8" s="67"/>
      <c r="X8" s="67"/>
      <c r="Y8" s="67"/>
      <c r="Z8" s="67"/>
      <c r="AA8" s="67"/>
      <c r="AB8" s="67"/>
      <c r="AC8" s="67"/>
    </row>
    <row r="9" spans="2:29" x14ac:dyDescent="0.3">
      <c r="B9" s="102" t="e" vm="1">
        <v>#VALUE!</v>
      </c>
      <c r="C9" s="42" t="str" cm="1">
        <f t="array" aca="1" ref="C9" ca="1">_FV(B9,"Ticker symbol",TRUE)</f>
        <v>HINDUNILVR</v>
      </c>
      <c r="D9" s="69" cm="1">
        <f t="array" aca="1" ref="D9" ca="1">_FV(B9,"Price")</f>
        <v>2354.4</v>
      </c>
      <c r="E9" s="70" cm="1">
        <f t="array" aca="1" ref="E9" ca="1">_FV(B9,"Shares outstanding",TRUE)/10000000</f>
        <v>234.95910000000001</v>
      </c>
      <c r="F9" s="109">
        <v>553106</v>
      </c>
      <c r="G9" s="108" cm="1">
        <f t="array" aca="1" ref="G9" ca="1">_FV(B9,"Market cap",TRUE)/10000000</f>
        <v>561434.9</v>
      </c>
      <c r="H9" s="103" t="str">
        <f ca="1">HYPERLINK("https://www.screener.in/company/"&amp;SUBSTITUTE(C9," ","")&amp;"/consolidated/","Financials")</f>
        <v>Financials</v>
      </c>
      <c r="I9" s="109">
        <v>64243</v>
      </c>
      <c r="J9" s="109">
        <v>61896</v>
      </c>
      <c r="K9" s="109">
        <v>60580</v>
      </c>
      <c r="L9" s="109">
        <v>15875</v>
      </c>
      <c r="M9" s="109">
        <v>15294</v>
      </c>
      <c r="N9" s="109">
        <v>10926</v>
      </c>
      <c r="O9" s="109">
        <v>10282</v>
      </c>
      <c r="P9" s="71"/>
      <c r="Q9" s="71">
        <f>J9/I9-1</f>
        <v>-3.6533163146179382E-2</v>
      </c>
      <c r="R9" s="71">
        <f>K9/J9-1</f>
        <v>-2.1261470854336273E-2</v>
      </c>
      <c r="S9" s="71">
        <f>L9/J9</f>
        <v>0.2564786092800827</v>
      </c>
      <c r="T9" s="71">
        <f>M9/K9</f>
        <v>0.25245955760977218</v>
      </c>
      <c r="U9" s="71">
        <f>N9/J9</f>
        <v>0.17652190771616905</v>
      </c>
      <c r="V9" s="71">
        <f>O9/K9</f>
        <v>0.16972598217233412</v>
      </c>
      <c r="W9" s="71"/>
      <c r="X9" s="72">
        <f>$F9/J9</f>
        <v>8.9360540261083106</v>
      </c>
      <c r="Y9" s="72">
        <f>$F9/K9</f>
        <v>9.1301749752393526</v>
      </c>
      <c r="Z9" s="72">
        <f>$F9/L9</f>
        <v>34.841322834645666</v>
      </c>
      <c r="AA9" s="72">
        <f>$F9/M9</f>
        <v>36.164901268471297</v>
      </c>
      <c r="AB9" s="72">
        <f ca="1">$G9/N9</f>
        <v>51.385218744279705</v>
      </c>
      <c r="AC9" s="72">
        <f ca="1">$G9/O9</f>
        <v>54.603666601828444</v>
      </c>
    </row>
    <row r="10" spans="2:29" ht="15.6" x14ac:dyDescent="0.3">
      <c r="B10" s="68"/>
      <c r="D10" s="3"/>
      <c r="E10" s="73"/>
      <c r="F10" s="73"/>
      <c r="G10" s="73"/>
      <c r="H10" s="104"/>
      <c r="I10" s="106"/>
      <c r="J10" s="106"/>
      <c r="K10" s="106"/>
      <c r="L10" s="106"/>
      <c r="M10" s="106"/>
      <c r="N10" s="106"/>
      <c r="O10" s="106"/>
      <c r="P10" s="75"/>
      <c r="Q10" s="75"/>
      <c r="R10" s="75"/>
      <c r="S10" s="75"/>
      <c r="T10" s="75"/>
      <c r="U10" s="75"/>
      <c r="V10" s="75"/>
      <c r="W10" s="75"/>
      <c r="X10" s="76"/>
      <c r="Y10" s="76"/>
      <c r="Z10" s="76"/>
      <c r="AA10" s="76"/>
      <c r="AB10" s="76"/>
      <c r="AC10" s="76"/>
    </row>
    <row r="11" spans="2:29" x14ac:dyDescent="0.3">
      <c r="B11" s="102" t="e" vm="2">
        <v>#VALUE!</v>
      </c>
      <c r="C11" t="str" cm="1">
        <f t="array" aca="1" ref="C11" ca="1">_FV(B11,"Ticker symbol",TRUE)</f>
        <v>NESTLEIND</v>
      </c>
      <c r="D11" s="77" cm="1">
        <f t="array" aca="1" ref="D11" ca="1">_FV(B11,"Price")</f>
        <v>1303.5</v>
      </c>
      <c r="E11" s="73" cm="1">
        <f t="array" aca="1" ref="E11" ca="1">_FV(B11,"Shares outstanding",TRUE)/10000000</f>
        <v>192.8314</v>
      </c>
      <c r="F11" s="110">
        <v>251568</v>
      </c>
      <c r="G11" s="107" cm="1">
        <f t="array" aca="1" ref="G11" ca="1">_FV(B11,"Market cap",TRUE)/10000000</f>
        <v>254286.8</v>
      </c>
      <c r="H11" s="105" t="str">
        <f t="shared" ref="H11:H15" ca="1" si="0">HYPERLINK("https://www.screener.in/company/"&amp;SUBSTITUTE(C11," ","")&amp;"/consolidated/","Financials")</f>
        <v>Financials</v>
      </c>
      <c r="I11" s="110">
        <v>21911</v>
      </c>
      <c r="J11" s="110">
        <v>20202</v>
      </c>
      <c r="K11" s="110">
        <v>19126</v>
      </c>
      <c r="L11" s="110">
        <v>6396</v>
      </c>
      <c r="M11" s="110">
        <v>5717</v>
      </c>
      <c r="N11" s="110">
        <v>3316</v>
      </c>
      <c r="O11" s="110">
        <v>2999</v>
      </c>
      <c r="P11" s="78"/>
      <c r="Q11" s="78">
        <f>J11/I11-1</f>
        <v>-7.7997352927753227E-2</v>
      </c>
      <c r="R11" s="78">
        <f>K11/J11-1</f>
        <v>-5.3262053262053244E-2</v>
      </c>
      <c r="S11" s="78">
        <f t="shared" ref="S11:T15" si="1">L11/J11</f>
        <v>0.31660231660231658</v>
      </c>
      <c r="T11" s="78">
        <f t="shared" si="1"/>
        <v>0.29891247516469727</v>
      </c>
      <c r="U11" s="78">
        <f t="shared" ref="U11:V15" si="2">N11/J11</f>
        <v>0.16414216414216415</v>
      </c>
      <c r="V11" s="78">
        <f t="shared" si="2"/>
        <v>0.15680225870542716</v>
      </c>
      <c r="W11" s="78"/>
      <c r="X11" s="76">
        <f t="shared" ref="X11:AA12" si="3">$F11/J11</f>
        <v>12.452628452628453</v>
      </c>
      <c r="Y11" s="76">
        <f t="shared" si="3"/>
        <v>13.153194604203701</v>
      </c>
      <c r="Z11" s="76">
        <f t="shared" si="3"/>
        <v>39.332082551594745</v>
      </c>
      <c r="AA11" s="76">
        <f t="shared" si="3"/>
        <v>44.003498338289312</v>
      </c>
      <c r="AB11" s="76">
        <f ca="1">$G11/N11</f>
        <v>76.684800965018084</v>
      </c>
      <c r="AC11" s="76">
        <f ca="1">$G11/O11</f>
        <v>84.790530176725568</v>
      </c>
    </row>
    <row r="12" spans="2:29" x14ac:dyDescent="0.3">
      <c r="B12" s="102" t="e" vm="3">
        <v>#VALUE!</v>
      </c>
      <c r="C12" t="str" cm="1">
        <f t="array" aca="1" ref="C12" ca="1">_FV(B12,"Ticker symbol",TRUE)</f>
        <v>ITC</v>
      </c>
      <c r="D12" s="77" cm="1">
        <f t="array" aca="1" ref="D12" ca="1">_FV(B12,"Price")</f>
        <v>310.2</v>
      </c>
      <c r="E12" s="73" cm="1">
        <f t="array" aca="1" ref="E12" ca="1">_FV(B12,"Shares outstanding",TRUE)/10000000</f>
        <v>1252.923</v>
      </c>
      <c r="F12" s="110">
        <v>388657</v>
      </c>
      <c r="G12" s="107" cm="1">
        <f t="array" aca="1" ref="G12" ca="1">_FV(B12,"Market cap",TRUE)/10000000</f>
        <v>419344.3</v>
      </c>
      <c r="H12" s="105" t="str">
        <f t="shared" ca="1" si="0"/>
        <v>Financials</v>
      </c>
      <c r="I12" s="110">
        <v>79809</v>
      </c>
      <c r="J12" s="110">
        <v>75323</v>
      </c>
      <c r="K12" s="110">
        <v>70919</v>
      </c>
      <c r="L12" s="110">
        <v>27337</v>
      </c>
      <c r="M12" s="110">
        <v>27512</v>
      </c>
      <c r="N12" s="110">
        <v>35356</v>
      </c>
      <c r="O12" s="110">
        <v>20751</v>
      </c>
      <c r="P12" s="78"/>
      <c r="Q12" s="78">
        <f t="shared" ref="Q12:R15" si="4">J12/I12-1</f>
        <v>-5.6209199463719606E-2</v>
      </c>
      <c r="R12" s="78">
        <f t="shared" si="4"/>
        <v>-5.846819696507044E-2</v>
      </c>
      <c r="S12" s="78">
        <f t="shared" si="1"/>
        <v>0.36293031345007504</v>
      </c>
      <c r="T12" s="78">
        <f t="shared" si="1"/>
        <v>0.38793553208590081</v>
      </c>
      <c r="U12" s="78">
        <f t="shared" si="2"/>
        <v>0.46939181923184153</v>
      </c>
      <c r="V12" s="78">
        <f t="shared" si="2"/>
        <v>0.29260141851971966</v>
      </c>
      <c r="W12" s="78"/>
      <c r="X12" s="76">
        <f t="shared" si="3"/>
        <v>5.1598714867968614</v>
      </c>
      <c r="Y12" s="76">
        <f t="shared" si="3"/>
        <v>5.480294420395099</v>
      </c>
      <c r="Z12" s="76">
        <f t="shared" si="3"/>
        <v>14.217251344331858</v>
      </c>
      <c r="AA12" s="76">
        <f t="shared" si="3"/>
        <v>14.126817388775807</v>
      </c>
      <c r="AB12" s="76">
        <f ca="1">$G12/N12</f>
        <v>11.860626202059056</v>
      </c>
      <c r="AC12" s="76">
        <f ca="1">$G12/O12</f>
        <v>20.208389957110501</v>
      </c>
    </row>
    <row r="13" spans="2:29" x14ac:dyDescent="0.3">
      <c r="B13" s="102" t="e" vm="4">
        <v>#VALUE!</v>
      </c>
      <c r="C13" t="str" cm="1">
        <f t="array" aca="1" ref="C13" ca="1">_FV(B13,"Ticker symbol",TRUE)</f>
        <v>DABUR</v>
      </c>
      <c r="D13" s="77" cm="1">
        <f t="array" aca="1" ref="D13" ca="1">_FV(B13,"Price")</f>
        <v>504.3</v>
      </c>
      <c r="E13" s="73" cm="1">
        <f t="array" aca="1" ref="E13" ca="1">_FV(B13,"Shares outstanding",TRUE)/10000000</f>
        <v>177.369</v>
      </c>
      <c r="F13" s="110">
        <v>89528</v>
      </c>
      <c r="G13" s="107" cm="1">
        <f t="array" aca="1" ref="G13" ca="1">_FV(B13,"Market cap",TRUE)/10000000</f>
        <v>92595.49</v>
      </c>
      <c r="H13" s="105" t="str">
        <f t="shared" ca="1" si="0"/>
        <v>Financials</v>
      </c>
      <c r="I13" s="110">
        <v>12985</v>
      </c>
      <c r="J13" s="110">
        <v>12404</v>
      </c>
      <c r="K13" s="110">
        <v>11530</v>
      </c>
      <c r="L13" s="110">
        <v>2799</v>
      </c>
      <c r="M13" s="110">
        <v>2473</v>
      </c>
      <c r="N13" s="110">
        <v>1819</v>
      </c>
      <c r="O13" s="110">
        <v>1701</v>
      </c>
      <c r="P13" s="78"/>
      <c r="Q13" s="78">
        <f t="shared" si="4"/>
        <v>-4.4743935309973004E-2</v>
      </c>
      <c r="R13" s="78">
        <f t="shared" si="4"/>
        <v>-7.0461141567236374E-2</v>
      </c>
      <c r="S13" s="78">
        <f t="shared" si="1"/>
        <v>0.22565301515640115</v>
      </c>
      <c r="T13" s="78">
        <f t="shared" si="1"/>
        <v>0.2144839549002602</v>
      </c>
      <c r="U13" s="78">
        <f t="shared" si="2"/>
        <v>0.14664624314737182</v>
      </c>
      <c r="V13" s="78">
        <f t="shared" si="2"/>
        <v>0.14752818733738074</v>
      </c>
      <c r="W13" s="78"/>
      <c r="X13" s="76">
        <f t="shared" ref="X13:X15" si="5">$F13/J13</f>
        <v>7.2176717188003874</v>
      </c>
      <c r="Y13" s="76">
        <f t="shared" ref="Y13:Y15" si="6">$F13/K13</f>
        <v>7.764787510841284</v>
      </c>
      <c r="Z13" s="76">
        <f t="shared" ref="Z13:Z15" si="7">$F13/L13</f>
        <v>31.985709181850662</v>
      </c>
      <c r="AA13" s="76">
        <f t="shared" ref="AA13:AA15" si="8">$F13/M13</f>
        <v>36.202183582693088</v>
      </c>
      <c r="AB13" s="76">
        <f t="shared" ref="AB13:AB15" ca="1" si="9">$G13/N13</f>
        <v>50.904612424409017</v>
      </c>
      <c r="AC13" s="76">
        <f t="shared" ref="AC13:AC15" ca="1" si="10">$G13/O13</f>
        <v>54.435914168136392</v>
      </c>
    </row>
    <row r="14" spans="2:29" x14ac:dyDescent="0.3">
      <c r="B14" s="102" t="e" vm="5">
        <v>#VALUE!</v>
      </c>
      <c r="C14" t="str" cm="1">
        <f t="array" aca="1" ref="C14" ca="1">_FV(B14,"Ticker symbol",TRUE)</f>
        <v>MARICO</v>
      </c>
      <c r="D14" s="77" cm="1">
        <f t="array" aca="1" ref="D14" ca="1">_FV(B14,"Price")</f>
        <v>748.3</v>
      </c>
      <c r="E14" s="73" cm="1">
        <f t="array" aca="1" ref="E14" ca="1">_FV(B14,"Shares outstanding",TRUE)/10000000</f>
        <v>129.5292</v>
      </c>
      <c r="F14" s="110">
        <v>97171</v>
      </c>
      <c r="G14" s="107" cm="1">
        <f t="array" aca="1" ref="G14" ca="1">_FV(B14,"Market cap",TRUE)/10000000</f>
        <v>97886.51</v>
      </c>
      <c r="H14" s="105" t="str">
        <f t="shared" ca="1" si="0"/>
        <v>Financials</v>
      </c>
      <c r="I14" s="110">
        <v>13008</v>
      </c>
      <c r="J14" s="110">
        <v>10831</v>
      </c>
      <c r="K14" s="110">
        <v>9764</v>
      </c>
      <c r="L14" s="110">
        <v>2217</v>
      </c>
      <c r="M14" s="110">
        <v>1965</v>
      </c>
      <c r="N14" s="110">
        <v>1750</v>
      </c>
      <c r="O14" s="110">
        <v>1322</v>
      </c>
      <c r="P14" s="78"/>
      <c r="Q14" s="78">
        <f t="shared" si="4"/>
        <v>-0.16735854858548582</v>
      </c>
      <c r="R14" s="78">
        <f t="shared" si="4"/>
        <v>-9.8513525990213235E-2</v>
      </c>
      <c r="S14" s="78">
        <f t="shared" si="1"/>
        <v>0.20469024097497923</v>
      </c>
      <c r="T14" s="78">
        <f t="shared" si="1"/>
        <v>0.20124948791478903</v>
      </c>
      <c r="U14" s="78">
        <f t="shared" si="2"/>
        <v>0.16157326193333948</v>
      </c>
      <c r="V14" s="78">
        <f t="shared" si="2"/>
        <v>0.13539532978287588</v>
      </c>
      <c r="W14" s="78"/>
      <c r="X14" s="76">
        <f t="shared" si="5"/>
        <v>8.9715631058997314</v>
      </c>
      <c r="Y14" s="76">
        <f t="shared" si="6"/>
        <v>9.9519664072101595</v>
      </c>
      <c r="Z14" s="76">
        <f t="shared" si="7"/>
        <v>43.829950383400991</v>
      </c>
      <c r="AA14" s="76">
        <f t="shared" si="8"/>
        <v>49.45089058524173</v>
      </c>
      <c r="AB14" s="76">
        <f t="shared" ca="1" si="9"/>
        <v>55.93514857142857</v>
      </c>
      <c r="AC14" s="76">
        <f t="shared" ca="1" si="10"/>
        <v>74.044258698940993</v>
      </c>
    </row>
    <row r="15" spans="2:29" x14ac:dyDescent="0.3">
      <c r="B15" s="102" t="e" vm="6">
        <v>#VALUE!</v>
      </c>
      <c r="C15" t="str" cm="1">
        <f t="array" aca="1" ref="C15" ca="1">_FV(B15,"Ticker symbol",TRUE)</f>
        <v>GODREJIND</v>
      </c>
      <c r="D15" s="77" cm="1">
        <f t="array" aca="1" ref="D15" ca="1">_FV(B15,"Price")</f>
        <v>998.1</v>
      </c>
      <c r="E15" s="73" cm="1">
        <f t="array" aca="1" ref="E15" ca="1">_FV(B15,"Shares outstanding",TRUE)/10000000</f>
        <v>33.680480000000003</v>
      </c>
      <c r="F15" s="110">
        <v>33530</v>
      </c>
      <c r="G15" s="107" cm="1">
        <f t="array" aca="1" ref="G15" ca="1">_FV(B15,"Market cap",TRUE)/10000000</f>
        <v>33707.43</v>
      </c>
      <c r="H15" s="105" t="str">
        <f t="shared" ca="1" si="0"/>
        <v>Financials</v>
      </c>
      <c r="I15" s="110">
        <v>20096</v>
      </c>
      <c r="J15" s="110">
        <v>19657</v>
      </c>
      <c r="K15" s="110">
        <v>16740</v>
      </c>
      <c r="L15" s="110">
        <v>1566</v>
      </c>
      <c r="M15" s="110">
        <v>1815</v>
      </c>
      <c r="N15" s="110">
        <v>1947</v>
      </c>
      <c r="O15" s="110">
        <v>1421</v>
      </c>
      <c r="P15" s="78"/>
      <c r="Q15" s="78">
        <f t="shared" si="4"/>
        <v>-2.1845143312101856E-2</v>
      </c>
      <c r="R15" s="78">
        <f t="shared" si="4"/>
        <v>-0.14839497380068167</v>
      </c>
      <c r="S15" s="78">
        <f t="shared" si="1"/>
        <v>7.9666276644452361E-2</v>
      </c>
      <c r="T15" s="78">
        <f t="shared" si="1"/>
        <v>0.10842293906810035</v>
      </c>
      <c r="U15" s="78">
        <f t="shared" si="2"/>
        <v>9.9048684946838272E-2</v>
      </c>
      <c r="V15" s="78">
        <f t="shared" si="2"/>
        <v>8.4886499402628435E-2</v>
      </c>
      <c r="W15" s="78"/>
      <c r="X15" s="76">
        <f t="shared" si="5"/>
        <v>1.7057536755354328</v>
      </c>
      <c r="Y15" s="76">
        <f t="shared" si="6"/>
        <v>2.0029868578255674</v>
      </c>
      <c r="Z15" s="76">
        <f t="shared" si="7"/>
        <v>21.41123882503193</v>
      </c>
      <c r="AA15" s="76">
        <f t="shared" si="8"/>
        <v>18.473829201101928</v>
      </c>
      <c r="AB15" s="76">
        <f t="shared" ca="1" si="9"/>
        <v>17.312496147919877</v>
      </c>
      <c r="AC15" s="76">
        <f t="shared" ca="1" si="10"/>
        <v>23.720921885995779</v>
      </c>
    </row>
    <row r="16" spans="2:29" x14ac:dyDescent="0.3">
      <c r="C16" s="79"/>
      <c r="D16" s="3"/>
      <c r="E16" s="73"/>
      <c r="F16" s="73"/>
      <c r="G16" s="73"/>
      <c r="I16" s="73"/>
      <c r="J16" s="73"/>
      <c r="K16" s="73"/>
      <c r="L16" s="73"/>
      <c r="M16" s="73"/>
      <c r="N16" s="73"/>
      <c r="O16" s="73"/>
      <c r="P16" s="78"/>
      <c r="Q16" s="78"/>
      <c r="R16" s="78"/>
      <c r="S16" s="78"/>
      <c r="T16" s="78"/>
      <c r="U16" s="78"/>
      <c r="V16" s="78"/>
      <c r="W16" s="78"/>
      <c r="X16" s="76"/>
      <c r="Y16" s="76"/>
      <c r="Z16" s="76"/>
      <c r="AA16" s="76"/>
      <c r="AB16" s="76"/>
      <c r="AC16" s="76"/>
    </row>
    <row r="17" spans="2:29" ht="15.6" x14ac:dyDescent="0.3">
      <c r="B17" s="80" t="s">
        <v>31</v>
      </c>
      <c r="C17" s="81"/>
      <c r="D17" s="81"/>
      <c r="E17" s="81"/>
      <c r="F17" s="81"/>
      <c r="G17" s="81"/>
      <c r="H17" s="82"/>
      <c r="I17" s="82"/>
      <c r="J17" s="82"/>
      <c r="K17" s="82"/>
      <c r="L17" s="82"/>
      <c r="M17" s="82"/>
      <c r="N17" s="82"/>
      <c r="O17" s="82"/>
      <c r="P17" s="82"/>
      <c r="Q17" s="82">
        <f t="shared" ref="Q17:V17" si="11">AVERAGE(Q11:Q15)</f>
        <v>-7.3630835919806709E-2</v>
      </c>
      <c r="R17" s="82">
        <f t="shared" si="11"/>
        <v>-8.5819978317050988E-2</v>
      </c>
      <c r="S17" s="82">
        <f t="shared" si="11"/>
        <v>0.23790843256564481</v>
      </c>
      <c r="T17" s="82">
        <f t="shared" si="11"/>
        <v>0.24220087782674954</v>
      </c>
      <c r="U17" s="82">
        <f t="shared" si="11"/>
        <v>0.20816043468031104</v>
      </c>
      <c r="V17" s="82">
        <f t="shared" si="11"/>
        <v>0.16344273874960638</v>
      </c>
      <c r="W17" s="82"/>
      <c r="X17" s="82">
        <f t="shared" ref="X17:AC17" si="12">AVERAGE(X11:X15)</f>
        <v>7.1014976879321736</v>
      </c>
      <c r="Y17" s="82">
        <f t="shared" si="12"/>
        <v>7.6706459600951629</v>
      </c>
      <c r="Z17" s="82">
        <f t="shared" si="12"/>
        <v>30.155246457242036</v>
      </c>
      <c r="AA17" s="82">
        <f t="shared" si="12"/>
        <v>32.451443819220373</v>
      </c>
      <c r="AB17" s="82">
        <f t="shared" ca="1" si="12"/>
        <v>42.539536862166926</v>
      </c>
      <c r="AC17" s="82">
        <f t="shared" ca="1" si="12"/>
        <v>51.440002977381845</v>
      </c>
    </row>
    <row r="18" spans="2:29" ht="15.6" x14ac:dyDescent="0.3">
      <c r="B18" s="83" t="s">
        <v>32</v>
      </c>
      <c r="C18" s="84"/>
      <c r="D18" s="84"/>
      <c r="E18" s="84"/>
      <c r="F18" s="84"/>
      <c r="G18" s="84"/>
      <c r="H18" s="85"/>
      <c r="I18" s="85"/>
      <c r="J18" s="85"/>
      <c r="K18" s="85"/>
      <c r="L18" s="85"/>
      <c r="M18" s="85"/>
      <c r="N18" s="85"/>
      <c r="O18" s="85"/>
      <c r="P18" s="85"/>
      <c r="Q18" s="85">
        <f t="shared" ref="Q18:V18" si="13">MEDIAN(Q11:Q15)</f>
        <v>-5.6209199463719606E-2</v>
      </c>
      <c r="R18" s="85">
        <f t="shared" si="13"/>
        <v>-7.0461141567236374E-2</v>
      </c>
      <c r="S18" s="85">
        <f t="shared" si="13"/>
        <v>0.22565301515640115</v>
      </c>
      <c r="T18" s="85">
        <f t="shared" si="13"/>
        <v>0.2144839549002602</v>
      </c>
      <c r="U18" s="85">
        <f t="shared" si="13"/>
        <v>0.16157326193333948</v>
      </c>
      <c r="V18" s="85">
        <f t="shared" si="13"/>
        <v>0.14752818733738074</v>
      </c>
      <c r="W18" s="85"/>
      <c r="X18" s="85">
        <f t="shared" ref="X18:AC18" si="14">MEDIAN(X11:X15)</f>
        <v>7.2176717188003874</v>
      </c>
      <c r="Y18" s="85">
        <f t="shared" si="14"/>
        <v>7.764787510841284</v>
      </c>
      <c r="Z18" s="85">
        <f t="shared" si="14"/>
        <v>31.985709181850662</v>
      </c>
      <c r="AA18" s="85">
        <f t="shared" si="14"/>
        <v>36.202183582693088</v>
      </c>
      <c r="AB18" s="85">
        <f t="shared" ca="1" si="14"/>
        <v>50.904612424409017</v>
      </c>
      <c r="AC18" s="85">
        <f t="shared" ca="1" si="14"/>
        <v>54.435914168136392</v>
      </c>
    </row>
    <row r="19" spans="2:29" ht="15.6" x14ac:dyDescent="0.3">
      <c r="B19" s="65"/>
      <c r="C19" s="65"/>
      <c r="D19" s="66"/>
      <c r="E19" s="66"/>
      <c r="F19" s="66"/>
      <c r="G19" s="66"/>
      <c r="I19" s="66"/>
      <c r="J19" s="66"/>
      <c r="K19" s="66"/>
      <c r="L19" s="66"/>
      <c r="M19" s="66"/>
      <c r="N19" s="66"/>
      <c r="O19" s="66"/>
      <c r="P19" s="66"/>
      <c r="Q19" s="67"/>
      <c r="R19" s="67"/>
      <c r="S19" s="67"/>
      <c r="T19" s="67"/>
      <c r="U19" s="67"/>
      <c r="V19" s="67"/>
      <c r="W19" s="67"/>
      <c r="X19" s="67"/>
      <c r="Y19" s="67"/>
      <c r="Z19" s="67"/>
      <c r="AA19" s="67"/>
      <c r="AB19" s="67"/>
      <c r="AC19" s="67"/>
    </row>
    <row r="20" spans="2:29" ht="15.6" x14ac:dyDescent="0.3">
      <c r="B20" s="59" t="s">
        <v>80</v>
      </c>
      <c r="C20" s="65"/>
      <c r="D20" s="86"/>
      <c r="E20" s="86"/>
      <c r="F20" s="86"/>
      <c r="G20" s="66"/>
      <c r="H20" s="3"/>
      <c r="I20" s="73"/>
      <c r="J20" s="73"/>
      <c r="K20" s="73"/>
      <c r="L20" s="73"/>
      <c r="M20" s="73"/>
      <c r="N20" s="73"/>
      <c r="P20" s="73"/>
      <c r="Q20" s="73"/>
      <c r="R20" s="87"/>
      <c r="U20" s="67"/>
      <c r="V20" s="67"/>
      <c r="W20" s="67"/>
      <c r="X20" s="67"/>
      <c r="Y20" s="67"/>
      <c r="Z20" s="67"/>
      <c r="AA20" s="67"/>
      <c r="AB20" s="67"/>
      <c r="AC20" s="67"/>
    </row>
  </sheetData>
  <conditionalFormatting sqref="H9:H15">
    <cfRule type="colorScale" priority="19">
      <colorScale>
        <cfvo type="min"/>
        <cfvo type="percentile" val="50"/>
        <cfvo type="max"/>
        <color rgb="FFF8696B"/>
        <color rgb="FFFFEB84"/>
        <color rgb="FF63BE7B"/>
      </colorScale>
    </cfRule>
    <cfRule type="colorScale" priority="20">
      <colorScale>
        <cfvo type="min"/>
        <cfvo type="percentile" val="50"/>
        <cfvo type="max"/>
        <color rgb="FF63BE7B"/>
        <color rgb="FFFFEB84"/>
        <color rgb="FFF8696B"/>
      </colorScale>
    </cfRule>
  </conditionalFormatting>
  <conditionalFormatting sqref="P11:P16">
    <cfRule type="colorScale" priority="21">
      <colorScale>
        <cfvo type="min"/>
        <cfvo type="percentile" val="50"/>
        <cfvo type="max"/>
        <color rgb="FFF8696B"/>
        <color rgb="FFFFEB84"/>
        <color rgb="FF63BE7B"/>
      </colorScale>
    </cfRule>
    <cfRule type="colorScale" priority="22">
      <colorScale>
        <cfvo type="min"/>
        <cfvo type="percentile" val="50"/>
        <cfvo type="max"/>
        <color rgb="FF63BE7B"/>
        <color rgb="FFFFEB84"/>
        <color rgb="FFF8696B"/>
      </colorScale>
    </cfRule>
  </conditionalFormatting>
  <conditionalFormatting sqref="Q9:Q16">
    <cfRule type="colorScale" priority="25">
      <colorScale>
        <cfvo type="min"/>
        <cfvo type="percentile" val="50"/>
        <cfvo type="max"/>
        <color rgb="FFF8696B"/>
        <color rgb="FFFFEB84"/>
        <color rgb="FF63BE7B"/>
      </colorScale>
    </cfRule>
  </conditionalFormatting>
  <conditionalFormatting sqref="R9:R16">
    <cfRule type="colorScale" priority="27">
      <colorScale>
        <cfvo type="min"/>
        <cfvo type="percentile" val="50"/>
        <cfvo type="max"/>
        <color rgb="FFF8696B"/>
        <color rgb="FFFFEB84"/>
        <color rgb="FF63BE7B"/>
      </colorScale>
    </cfRule>
  </conditionalFormatting>
  <conditionalFormatting sqref="S9:S16">
    <cfRule type="colorScale" priority="29">
      <colorScale>
        <cfvo type="min"/>
        <cfvo type="percentile" val="50"/>
        <cfvo type="max"/>
        <color rgb="FFF8696B"/>
        <color rgb="FFFFEB84"/>
        <color rgb="FF63BE7B"/>
      </colorScale>
    </cfRule>
  </conditionalFormatting>
  <conditionalFormatting sqref="T9:T16">
    <cfRule type="colorScale" priority="31">
      <colorScale>
        <cfvo type="min"/>
        <cfvo type="percentile" val="50"/>
        <cfvo type="max"/>
        <color rgb="FFF8696B"/>
        <color rgb="FFFFEB84"/>
        <color rgb="FF63BE7B"/>
      </colorScale>
    </cfRule>
  </conditionalFormatting>
  <conditionalFormatting sqref="U9:U16">
    <cfRule type="colorScale" priority="33">
      <colorScale>
        <cfvo type="min"/>
        <cfvo type="percentile" val="50"/>
        <cfvo type="max"/>
        <color rgb="FFF8696B"/>
        <color rgb="FFFFEB84"/>
        <color rgb="FF63BE7B"/>
      </colorScale>
    </cfRule>
  </conditionalFormatting>
  <conditionalFormatting sqref="V9:V16">
    <cfRule type="colorScale" priority="35">
      <colorScale>
        <cfvo type="min"/>
        <cfvo type="percentile" val="50"/>
        <cfvo type="max"/>
        <color rgb="FFF8696B"/>
        <color rgb="FFFFEB84"/>
        <color rgb="FF63BE7B"/>
      </colorScale>
    </cfRule>
  </conditionalFormatting>
  <conditionalFormatting sqref="X9:X16">
    <cfRule type="colorScale" priority="37">
      <colorScale>
        <cfvo type="min"/>
        <cfvo type="percentile" val="50"/>
        <cfvo type="max"/>
        <color rgb="FF63BE7B"/>
        <color rgb="FFFFEB84"/>
        <color rgb="FFF8696B"/>
      </colorScale>
    </cfRule>
  </conditionalFormatting>
  <conditionalFormatting sqref="Y9:Y16">
    <cfRule type="colorScale" priority="39">
      <colorScale>
        <cfvo type="min"/>
        <cfvo type="percentile" val="50"/>
        <cfvo type="max"/>
        <color rgb="FF63BE7B"/>
        <color rgb="FFFFEB84"/>
        <color rgb="FFF8696B"/>
      </colorScale>
    </cfRule>
  </conditionalFormatting>
  <conditionalFormatting sqref="Z9:Z16">
    <cfRule type="colorScale" priority="41">
      <colorScale>
        <cfvo type="min"/>
        <cfvo type="percentile" val="50"/>
        <cfvo type="max"/>
        <color rgb="FF63BE7B"/>
        <color rgb="FFFFEB84"/>
        <color rgb="FFF8696B"/>
      </colorScale>
    </cfRule>
  </conditionalFormatting>
  <conditionalFormatting sqref="AA9:AA16">
    <cfRule type="colorScale" priority="43">
      <colorScale>
        <cfvo type="min"/>
        <cfvo type="percentile" val="50"/>
        <cfvo type="max"/>
        <color rgb="FF63BE7B"/>
        <color rgb="FFFFEB84"/>
        <color rgb="FFF8696B"/>
      </colorScale>
    </cfRule>
  </conditionalFormatting>
  <conditionalFormatting sqref="AB9:AB16">
    <cfRule type="colorScale" priority="45">
      <colorScale>
        <cfvo type="min"/>
        <cfvo type="percentile" val="50"/>
        <cfvo type="max"/>
        <color rgb="FF63BE7B"/>
        <color rgb="FFFFEB84"/>
        <color rgb="FFF8696B"/>
      </colorScale>
    </cfRule>
  </conditionalFormatting>
  <conditionalFormatting sqref="AC9:AC16">
    <cfRule type="colorScale" priority="47">
      <colorScale>
        <cfvo type="min"/>
        <cfvo type="percentile" val="50"/>
        <cfvo type="max"/>
        <color rgb="FF63BE7B"/>
        <color rgb="FFFFEB84"/>
        <color rgb="FFF8696B"/>
      </colorScale>
    </cfRule>
  </conditionalFormatting>
  <hyperlinks>
    <hyperlink ref="H2" r:id="rId1" xr:uid="{CD9D1D0F-CE1B-4ED9-9187-9C41D1812C3D}"/>
    <hyperlink ref="B20" r:id="rId2" xr:uid="{46E8E4D8-FAC2-44F2-B732-24511C2A347C}"/>
  </hyperlinks>
  <pageMargins left="0.7" right="0.7" top="0.75" bottom="0.75" header="0.3" footer="0.3"/>
  <pageSetup orientation="portrait" horizontalDpi="1200" verticalDpi="12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9EF44-33F7-40E5-B472-A7B8DCCD3C0F}">
  <sheetPr>
    <tabColor theme="9"/>
  </sheetPr>
  <dimension ref="B2:O19"/>
  <sheetViews>
    <sheetView showGridLines="0" zoomScaleNormal="100" workbookViewId="0">
      <selection activeCell="P11" sqref="P11:Q11"/>
    </sheetView>
  </sheetViews>
  <sheetFormatPr defaultRowHeight="14.4" outlineLevelCol="1" x14ac:dyDescent="0.3"/>
  <cols>
    <col min="1" max="1" width="3.6640625" customWidth="1"/>
    <col min="2" max="2" width="51.6640625" customWidth="1"/>
    <col min="4" max="4" width="23.44140625" bestFit="1" customWidth="1"/>
    <col min="5" max="5" width="14.77734375" customWidth="1"/>
    <col min="6" max="8" width="14.77734375" style="3" hidden="1" customWidth="1" outlineLevel="1"/>
    <col min="9" max="9" width="14.77734375" style="3" customWidth="1" collapsed="1"/>
    <col min="10" max="11" width="14.77734375" style="3" customWidth="1"/>
    <col min="12" max="13" width="14.77734375" style="3" hidden="1" customWidth="1" outlineLevel="1"/>
    <col min="14" max="14" width="14.77734375" style="3" customWidth="1" collapsed="1"/>
    <col min="15" max="15" width="14.77734375" style="3" customWidth="1"/>
  </cols>
  <sheetData>
    <row r="2" spans="2:15" s="1" customFormat="1" ht="21" x14ac:dyDescent="0.4">
      <c r="B2" s="2" t="s">
        <v>0</v>
      </c>
      <c r="F2" s="5"/>
      <c r="G2" s="5"/>
      <c r="H2" s="5"/>
      <c r="I2" s="5"/>
      <c r="J2" s="5"/>
      <c r="K2" s="5"/>
      <c r="L2" s="5"/>
      <c r="M2" s="5"/>
      <c r="N2" s="5"/>
      <c r="O2" s="5"/>
    </row>
    <row r="4" spans="2:15" x14ac:dyDescent="0.3">
      <c r="B4" t="s">
        <v>7</v>
      </c>
    </row>
    <row r="5" spans="2:15" x14ac:dyDescent="0.3">
      <c r="B5" t="s">
        <v>6</v>
      </c>
    </row>
    <row r="6" spans="2:15" ht="15.6" x14ac:dyDescent="0.3">
      <c r="B6" s="89"/>
      <c r="C6" s="90"/>
      <c r="D6" s="91"/>
      <c r="E6" s="91"/>
      <c r="F6" s="91"/>
      <c r="G6" s="91"/>
      <c r="H6" s="91"/>
      <c r="I6" s="91"/>
      <c r="J6" s="91"/>
      <c r="K6" s="91"/>
      <c r="L6" s="91"/>
      <c r="M6" s="91"/>
      <c r="N6" s="91"/>
      <c r="O6" s="91"/>
    </row>
    <row r="7" spans="2:15" ht="15.6" x14ac:dyDescent="0.3">
      <c r="B7" s="89"/>
      <c r="C7" s="89"/>
      <c r="D7" s="91" t="s">
        <v>17</v>
      </c>
      <c r="E7" s="91" t="s">
        <v>87</v>
      </c>
      <c r="F7" s="91" t="s">
        <v>91</v>
      </c>
      <c r="G7" s="91" t="s">
        <v>5</v>
      </c>
      <c r="H7" s="91" t="s">
        <v>89</v>
      </c>
      <c r="I7" s="91" t="s">
        <v>88</v>
      </c>
      <c r="J7" s="91" t="s">
        <v>4</v>
      </c>
      <c r="K7" s="91" t="s">
        <v>4</v>
      </c>
      <c r="L7" s="91" t="s">
        <v>88</v>
      </c>
      <c r="M7" s="91" t="s">
        <v>3</v>
      </c>
      <c r="N7" s="91" t="s">
        <v>106</v>
      </c>
      <c r="O7" s="91" t="s">
        <v>0</v>
      </c>
    </row>
    <row r="8" spans="2:15" ht="15.6" x14ac:dyDescent="0.3">
      <c r="B8" s="93" t="s">
        <v>27</v>
      </c>
      <c r="C8" s="93" t="s">
        <v>28</v>
      </c>
      <c r="D8" s="94" t="s">
        <v>29</v>
      </c>
      <c r="E8" s="94" t="s">
        <v>108</v>
      </c>
      <c r="F8" s="91" t="s">
        <v>92</v>
      </c>
      <c r="G8" s="94"/>
      <c r="H8" s="95" t="s">
        <v>90</v>
      </c>
      <c r="I8" s="91" t="s">
        <v>87</v>
      </c>
      <c r="J8" s="91"/>
      <c r="K8" s="94" t="s">
        <v>108</v>
      </c>
      <c r="L8" s="91" t="s">
        <v>4</v>
      </c>
      <c r="M8" s="91"/>
      <c r="N8" s="91" t="s">
        <v>107</v>
      </c>
      <c r="O8" s="91"/>
    </row>
    <row r="9" spans="2:15" ht="15.6" x14ac:dyDescent="0.3">
      <c r="B9" s="65"/>
      <c r="C9" s="65"/>
      <c r="D9" s="66"/>
      <c r="E9" s="66"/>
      <c r="F9" s="119" t="str">
        <f>HYPERLINK("https://tradingeconomics.com/india/government-bond-yield","India 10Y Yield")</f>
        <v>India 10Y Yield</v>
      </c>
      <c r="G9" s="66"/>
      <c r="H9" s="119" t="str">
        <f>HYPERLINK("https://pages.stern.nyu.edu/~adamodar/New_Home_Page/datafile/ctryprem.html","Country Risk Premium")</f>
        <v>Country Risk Premium</v>
      </c>
      <c r="I9" s="66"/>
      <c r="J9" s="119" t="str">
        <f>HYPERLINK("https://www.screener.in/company/SBIN/consolidated/#balance-sheet","Debt")</f>
        <v>Debt</v>
      </c>
      <c r="K9" s="66"/>
      <c r="L9" s="66"/>
      <c r="M9" s="66"/>
      <c r="N9" s="66"/>
      <c r="O9" s="66"/>
    </row>
    <row r="10" spans="2:15" x14ac:dyDescent="0.3">
      <c r="B10" s="102" t="e" vm="1">
        <v>#VALUE!</v>
      </c>
      <c r="C10" s="42" t="str" cm="1">
        <f t="array" aca="1" ref="C10" ca="1">_FV(B10,"Ticker symbol",TRUE)</f>
        <v>HINDUNILVR</v>
      </c>
      <c r="D10" s="69" cm="1">
        <f t="array" aca="1" ref="D10" ca="1">_FV(B10,"Market cap",TRUE)/10000000</f>
        <v>561434.9</v>
      </c>
      <c r="E10" s="133"/>
      <c r="F10" s="96">
        <v>6.7000000000000004E-2</v>
      </c>
      <c r="G10" s="131" cm="1">
        <f t="array" aca="1" ref="G10" ca="1">_FV(B10,"Beta")</f>
        <v>0.76729999999999998</v>
      </c>
      <c r="H10" s="96">
        <v>7.0800000000000002E-2</v>
      </c>
      <c r="I10" s="120">
        <f ca="1">F10+G10*H10</f>
        <v>0.12132484</v>
      </c>
      <c r="J10" s="120"/>
      <c r="K10" s="121"/>
      <c r="L10" s="120">
        <v>4.4999999999999998E-2</v>
      </c>
      <c r="M10" s="122">
        <v>0.26</v>
      </c>
      <c r="N10" s="120">
        <f>L10*(1-M10)</f>
        <v>3.3299999999999996E-2</v>
      </c>
      <c r="O10" s="128">
        <v>0.1152</v>
      </c>
    </row>
    <row r="11" spans="2:15" ht="15.6" x14ac:dyDescent="0.3">
      <c r="B11" s="68"/>
      <c r="D11" s="3"/>
      <c r="E11" s="73"/>
      <c r="F11" s="73"/>
      <c r="G11" s="73"/>
      <c r="H11" s="74"/>
      <c r="I11" s="73"/>
      <c r="J11" s="106"/>
      <c r="K11" s="106"/>
      <c r="L11" s="106"/>
      <c r="M11" s="106"/>
      <c r="N11" s="134"/>
      <c r="O11" s="106"/>
    </row>
    <row r="12" spans="2:15" x14ac:dyDescent="0.3">
      <c r="B12" s="102" t="e" vm="2">
        <v>#VALUE!</v>
      </c>
      <c r="C12" t="str" cm="1">
        <f t="array" aca="1" ref="C12" ca="1">_FV(B12,"Ticker symbol",TRUE)</f>
        <v>NESTLEIND</v>
      </c>
      <c r="D12" s="77" cm="1">
        <f t="array" aca="1" ref="D12" ca="1">_FV(B12,"Market cap",TRUE)/10000000</f>
        <v>254286.8</v>
      </c>
      <c r="E12" s="88"/>
      <c r="F12" s="97">
        <v>6.7000000000000004E-2</v>
      </c>
      <c r="G12" s="132" cm="1">
        <f t="array" aca="1" ref="G12" ca="1">_FV(B12,"Beta")</f>
        <v>0.96079999999999999</v>
      </c>
      <c r="H12" s="97">
        <v>7.0800000000000002E-2</v>
      </c>
      <c r="I12" s="123">
        <f ca="1">F12+G12*H12</f>
        <v>0.13502464</v>
      </c>
      <c r="J12" s="123"/>
      <c r="K12" s="116"/>
      <c r="L12" s="123">
        <v>0.05</v>
      </c>
      <c r="M12" s="124">
        <v>0.25</v>
      </c>
      <c r="N12" s="123">
        <f>L12*(1-M12)</f>
        <v>3.7500000000000006E-2</v>
      </c>
      <c r="O12" s="129">
        <v>9.11E-2</v>
      </c>
    </row>
    <row r="13" spans="2:15" x14ac:dyDescent="0.3">
      <c r="B13" s="102" t="e" vm="3">
        <v>#VALUE!</v>
      </c>
      <c r="C13" t="str" cm="1">
        <f t="array" aca="1" ref="C13" ca="1">_FV(B13,"Ticker symbol",TRUE)</f>
        <v>ITC</v>
      </c>
      <c r="D13" s="77" cm="1">
        <f t="array" aca="1" ref="D13" ca="1">_FV(B13,"Market cap",TRUE)/10000000</f>
        <v>419344.3</v>
      </c>
      <c r="E13" s="88"/>
      <c r="F13" s="97">
        <v>6.7000000000000004E-2</v>
      </c>
      <c r="G13" s="132" cm="1">
        <f t="array" aca="1" ref="G13" ca="1">_FV(B13,"Beta")</f>
        <v>0.88400000000000001</v>
      </c>
      <c r="H13" s="97">
        <v>7.0800000000000002E-2</v>
      </c>
      <c r="I13" s="123">
        <f ca="1">F13+G13*H13</f>
        <v>0.12958720000000001</v>
      </c>
      <c r="J13" s="123"/>
      <c r="K13" s="125"/>
      <c r="L13" s="123">
        <v>0.06</v>
      </c>
      <c r="M13" s="124">
        <v>0.23</v>
      </c>
      <c r="N13" s="123">
        <f t="shared" ref="N13:N16" si="0">L13*(1-M13)</f>
        <v>4.6199999999999998E-2</v>
      </c>
      <c r="O13" s="129">
        <v>0.1293</v>
      </c>
    </row>
    <row r="14" spans="2:15" x14ac:dyDescent="0.3">
      <c r="B14" s="102" t="e" vm="4">
        <v>#VALUE!</v>
      </c>
      <c r="C14" t="str" cm="1">
        <f t="array" aca="1" ref="C14" ca="1">_FV(B14,"Ticker symbol",TRUE)</f>
        <v>DABUR</v>
      </c>
      <c r="D14" s="77" cm="1">
        <f t="array" aca="1" ref="D14" ca="1">_FV(B14,"Market cap",TRUE)/10000000</f>
        <v>92595.49</v>
      </c>
      <c r="E14" s="88"/>
      <c r="F14" s="97">
        <v>6.7000000000000004E-2</v>
      </c>
      <c r="G14" s="132" cm="1">
        <f t="array" aca="1" ref="G14" ca="1">_FV(B14,"Beta")</f>
        <v>0.63670000000000004</v>
      </c>
      <c r="H14" s="97">
        <v>7.0800000000000002E-2</v>
      </c>
      <c r="I14" s="123">
        <f ca="1">F14+G14*H14</f>
        <v>0.11207836000000002</v>
      </c>
      <c r="J14" s="123"/>
      <c r="K14" s="116"/>
      <c r="L14" s="123">
        <v>5.5E-2</v>
      </c>
      <c r="M14" s="124">
        <v>0.23</v>
      </c>
      <c r="N14" s="123">
        <f t="shared" si="0"/>
        <v>4.2349999999999999E-2</v>
      </c>
      <c r="O14" s="129">
        <v>0.1047</v>
      </c>
    </row>
    <row r="15" spans="2:15" x14ac:dyDescent="0.3">
      <c r="B15" s="102" t="e" vm="5">
        <v>#VALUE!</v>
      </c>
      <c r="C15" t="str" cm="1">
        <f t="array" aca="1" ref="C15" ca="1">_FV(B15,"Ticker symbol",TRUE)</f>
        <v>MARICO</v>
      </c>
      <c r="D15" s="77" cm="1">
        <f t="array" aca="1" ref="D15" ca="1">_FV(B15,"Market cap",TRUE)/10000000</f>
        <v>97886.51</v>
      </c>
      <c r="E15" s="88"/>
      <c r="F15" s="97">
        <v>6.7000000000000004E-2</v>
      </c>
      <c r="G15" s="132" cm="1">
        <f t="array" aca="1" ref="G15" ca="1">_FV(B15,"Beta")</f>
        <v>0.61240000000000006</v>
      </c>
      <c r="H15" s="97">
        <v>7.0800000000000002E-2</v>
      </c>
      <c r="I15" s="123">
        <f ca="1">F15+G15*H15</f>
        <v>0.11035792000000001</v>
      </c>
      <c r="J15" s="123"/>
      <c r="K15" s="116"/>
      <c r="L15" s="123">
        <v>0.04</v>
      </c>
      <c r="M15" s="124">
        <v>0.22</v>
      </c>
      <c r="N15" s="123">
        <f t="shared" si="0"/>
        <v>3.1200000000000002E-2</v>
      </c>
      <c r="O15" s="129">
        <v>0.1202</v>
      </c>
    </row>
    <row r="16" spans="2:15" x14ac:dyDescent="0.3">
      <c r="B16" s="102" t="e" vm="6">
        <v>#VALUE!</v>
      </c>
      <c r="C16" t="str" cm="1">
        <f t="array" aca="1" ref="C16" ca="1">_FV(B16,"Ticker symbol",TRUE)</f>
        <v>GODREJIND</v>
      </c>
      <c r="D16" s="77" cm="1">
        <f t="array" aca="1" ref="D16" ca="1">_FV(B16,"Market cap",TRUE)/10000000</f>
        <v>33707.43</v>
      </c>
      <c r="E16" s="88"/>
      <c r="F16" s="97">
        <v>6.7000000000000004E-2</v>
      </c>
      <c r="G16" s="132" cm="1">
        <f t="array" aca="1" ref="G16" ca="1">_FV(B16,"Beta")</f>
        <v>0.60629999999999995</v>
      </c>
      <c r="H16" s="97">
        <v>7.0800000000000002E-2</v>
      </c>
      <c r="I16" s="123">
        <f ca="1">F16+G16*H16</f>
        <v>0.10992604</v>
      </c>
      <c r="J16" s="123"/>
      <c r="K16" s="116"/>
      <c r="L16" s="123">
        <v>7.0000000000000007E-2</v>
      </c>
      <c r="M16" s="124">
        <v>0.21</v>
      </c>
      <c r="N16" s="123">
        <f t="shared" si="0"/>
        <v>5.5300000000000009E-2</v>
      </c>
      <c r="O16" s="129">
        <v>0.15390000000000001</v>
      </c>
    </row>
    <row r="17" spans="2:15" x14ac:dyDescent="0.3">
      <c r="C17" s="79"/>
      <c r="D17" s="3"/>
      <c r="E17" s="73"/>
      <c r="F17" s="73"/>
      <c r="G17" s="73"/>
      <c r="I17" s="73"/>
      <c r="J17" s="73"/>
      <c r="K17" s="73"/>
      <c r="L17" s="73"/>
      <c r="M17" s="73"/>
      <c r="N17" s="73"/>
      <c r="O17" s="73"/>
    </row>
    <row r="18" spans="2:15" ht="15.6" x14ac:dyDescent="0.3">
      <c r="B18" s="80" t="s">
        <v>31</v>
      </c>
      <c r="C18" s="81"/>
      <c r="D18" s="81"/>
      <c r="E18" s="112" t="e">
        <f t="shared" ref="E18" si="1">AVERAGE(E12:E16)</f>
        <v>#DIV/0!</v>
      </c>
      <c r="F18" s="112">
        <f>AVERAGE(F12:F16)</f>
        <v>6.7000000000000004E-2</v>
      </c>
      <c r="G18" s="114">
        <f t="shared" ref="G18:O18" ca="1" si="2">AVERAGE(G12:G16)</f>
        <v>0.74004000000000003</v>
      </c>
      <c r="H18" s="112">
        <f t="shared" si="2"/>
        <v>7.0800000000000002E-2</v>
      </c>
      <c r="I18" s="112">
        <f ca="1">AVERAGE(I12:I16)</f>
        <v>0.11939483200000001</v>
      </c>
      <c r="J18" s="112" t="e">
        <f t="shared" si="2"/>
        <v>#DIV/0!</v>
      </c>
      <c r="K18" s="117" t="e">
        <f t="shared" si="2"/>
        <v>#DIV/0!</v>
      </c>
      <c r="L18" s="112">
        <f t="shared" si="2"/>
        <v>5.5000000000000007E-2</v>
      </c>
      <c r="M18" s="112">
        <f t="shared" si="2"/>
        <v>0.22799999999999998</v>
      </c>
      <c r="N18" s="112">
        <f t="shared" si="2"/>
        <v>4.2510000000000006E-2</v>
      </c>
      <c r="O18" s="126">
        <f t="shared" si="2"/>
        <v>0.11984000000000002</v>
      </c>
    </row>
    <row r="19" spans="2:15" ht="15.6" x14ac:dyDescent="0.3">
      <c r="B19" s="83" t="s">
        <v>32</v>
      </c>
      <c r="C19" s="84"/>
      <c r="D19" s="84"/>
      <c r="E19" s="113" t="e">
        <f t="shared" ref="E19" si="3">MEDIAN(E12:E16)</f>
        <v>#NUM!</v>
      </c>
      <c r="F19" s="113">
        <f>MEDIAN(F12:F16)</f>
        <v>6.7000000000000004E-2</v>
      </c>
      <c r="G19" s="115">
        <f t="shared" ref="G19:O19" ca="1" si="4">MEDIAN(G12:G16)</f>
        <v>0.63670000000000004</v>
      </c>
      <c r="H19" s="113">
        <f t="shared" si="4"/>
        <v>7.0800000000000002E-2</v>
      </c>
      <c r="I19" s="113">
        <f ca="1">MEDIAN(I12:I16)</f>
        <v>0.11207836000000002</v>
      </c>
      <c r="J19" s="113" t="e">
        <f t="shared" si="4"/>
        <v>#NUM!</v>
      </c>
      <c r="K19" s="118" t="e">
        <f t="shared" si="4"/>
        <v>#NUM!</v>
      </c>
      <c r="L19" s="113">
        <f t="shared" si="4"/>
        <v>5.5E-2</v>
      </c>
      <c r="M19" s="113">
        <f t="shared" si="4"/>
        <v>0.23</v>
      </c>
      <c r="N19" s="113">
        <f t="shared" si="4"/>
        <v>4.2349999999999999E-2</v>
      </c>
      <c r="O19" s="127">
        <f t="shared" si="4"/>
        <v>0.1202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20D1D-338B-469C-875F-DE0E5AC2E592}">
  <dimension ref="A2:T87"/>
  <sheetViews>
    <sheetView showGridLines="0" tabSelected="1" zoomScale="115" zoomScaleNormal="115" workbookViewId="0">
      <selection activeCell="J5" sqref="J5"/>
    </sheetView>
  </sheetViews>
  <sheetFormatPr defaultRowHeight="14.4" x14ac:dyDescent="0.3"/>
  <cols>
    <col min="1" max="1" width="3.6640625" customWidth="1"/>
    <col min="3" max="3" width="14.5546875" bestFit="1" customWidth="1"/>
    <col min="5" max="5" width="10.33203125" customWidth="1"/>
    <col min="16" max="16" width="13.44140625" bestFit="1" customWidth="1"/>
  </cols>
  <sheetData>
    <row r="2" spans="1:20" s="1" customFormat="1" ht="21" x14ac:dyDescent="0.4">
      <c r="B2" s="2" t="s">
        <v>71</v>
      </c>
    </row>
    <row r="4" spans="1:20" x14ac:dyDescent="0.3">
      <c r="B4" t="s">
        <v>27</v>
      </c>
      <c r="C4" s="7" t="e" vm="1">
        <v>#VALUE!</v>
      </c>
      <c r="E4" t="s">
        <v>33</v>
      </c>
      <c r="H4" s="9" cm="1">
        <f t="array" aca="1" ref="H4" ca="1">_FV(C4,"Price")</f>
        <v>2354.4</v>
      </c>
    </row>
    <row r="5" spans="1:20" x14ac:dyDescent="0.3">
      <c r="B5" t="s">
        <v>15</v>
      </c>
      <c r="C5" s="8">
        <f ca="1">TODAY()</f>
        <v>46059</v>
      </c>
      <c r="E5" t="s">
        <v>34</v>
      </c>
      <c r="H5" s="9">
        <f ca="1">P87</f>
        <v>657.2455229621238</v>
      </c>
      <c r="J5" s="9"/>
      <c r="K5" s="9"/>
    </row>
    <row r="6" spans="1:20" x14ac:dyDescent="0.3">
      <c r="B6" t="s">
        <v>35</v>
      </c>
      <c r="C6" s="8">
        <v>46112</v>
      </c>
      <c r="E6" t="s">
        <v>36</v>
      </c>
      <c r="H6" s="10">
        <f ca="1">H5/H4-1</f>
        <v>-0.72084372962872756</v>
      </c>
      <c r="J6" s="10"/>
      <c r="K6" s="10"/>
    </row>
    <row r="8" spans="1:20" x14ac:dyDescent="0.3">
      <c r="A8" s="3" t="s">
        <v>1</v>
      </c>
      <c r="B8" s="6" t="s">
        <v>37</v>
      </c>
      <c r="C8" s="6"/>
      <c r="D8" s="6"/>
      <c r="E8" s="6"/>
      <c r="F8" s="6"/>
      <c r="G8" s="6"/>
      <c r="H8" s="6"/>
      <c r="I8" s="6"/>
      <c r="J8" s="6"/>
      <c r="K8" s="6"/>
      <c r="L8" s="6"/>
      <c r="M8" s="6"/>
      <c r="N8" s="6"/>
      <c r="O8" s="6"/>
      <c r="P8" s="6"/>
      <c r="Q8" s="6"/>
      <c r="R8" s="6"/>
      <c r="S8" s="6"/>
      <c r="T8" s="6"/>
    </row>
    <row r="9" spans="1:20" ht="5.0999999999999996" customHeight="1" x14ac:dyDescent="0.3"/>
    <row r="10" spans="1:20" x14ac:dyDescent="0.3">
      <c r="B10" s="11" t="s">
        <v>38</v>
      </c>
      <c r="C10" s="12"/>
      <c r="D10" s="12"/>
      <c r="E10" s="12"/>
      <c r="G10" s="11" t="s">
        <v>39</v>
      </c>
      <c r="H10" s="12"/>
      <c r="I10" s="12"/>
      <c r="J10" s="12"/>
      <c r="L10" s="11" t="s">
        <v>40</v>
      </c>
      <c r="M10" s="12"/>
      <c r="N10" s="12"/>
      <c r="O10" s="12"/>
      <c r="Q10" s="11" t="s">
        <v>41</v>
      </c>
      <c r="R10" s="12"/>
      <c r="S10" s="12"/>
      <c r="T10" s="12"/>
    </row>
    <row r="11" spans="1:20" x14ac:dyDescent="0.3">
      <c r="B11" s="4" t="s">
        <v>37</v>
      </c>
      <c r="G11" s="4" t="s">
        <v>37</v>
      </c>
      <c r="H11" s="13"/>
      <c r="I11" s="14" t="s">
        <v>42</v>
      </c>
      <c r="J11" s="14" t="s">
        <v>43</v>
      </c>
      <c r="L11" s="4" t="s">
        <v>37</v>
      </c>
      <c r="M11" s="13"/>
      <c r="N11" s="14" t="s">
        <v>42</v>
      </c>
      <c r="O11" s="14" t="s">
        <v>43</v>
      </c>
      <c r="Q11" s="4" t="s">
        <v>37</v>
      </c>
      <c r="R11" s="13"/>
      <c r="S11" s="14" t="s">
        <v>42</v>
      </c>
      <c r="T11" s="14" t="s">
        <v>43</v>
      </c>
    </row>
    <row r="12" spans="1:20" x14ac:dyDescent="0.3">
      <c r="B12" t="s">
        <v>44</v>
      </c>
      <c r="E12" s="7">
        <v>1</v>
      </c>
      <c r="F12" s="3"/>
      <c r="G12" t="s">
        <v>75</v>
      </c>
      <c r="I12" s="16" t="s">
        <v>74</v>
      </c>
      <c r="J12" s="15">
        <v>0.85</v>
      </c>
      <c r="N12" s="3"/>
      <c r="O12" s="3"/>
      <c r="Q12" t="s">
        <v>75</v>
      </c>
      <c r="S12" s="16" t="s">
        <v>74</v>
      </c>
      <c r="T12" s="15">
        <v>1.1499999999999999</v>
      </c>
    </row>
    <row r="13" spans="1:20" x14ac:dyDescent="0.3">
      <c r="B13" t="s">
        <v>45</v>
      </c>
      <c r="E13" s="7">
        <v>1</v>
      </c>
      <c r="F13" s="3"/>
      <c r="G13" t="s">
        <v>76</v>
      </c>
      <c r="I13" s="16" t="s">
        <v>79</v>
      </c>
      <c r="J13" s="15">
        <v>-0.1</v>
      </c>
      <c r="L13" t="s">
        <v>76</v>
      </c>
      <c r="N13" s="16" t="s">
        <v>79</v>
      </c>
      <c r="O13" s="15">
        <v>-0.05</v>
      </c>
      <c r="Q13" t="s">
        <v>76</v>
      </c>
      <c r="S13" s="16" t="s">
        <v>79</v>
      </c>
      <c r="T13" s="15">
        <v>-2.5000000000000001E-2</v>
      </c>
    </row>
    <row r="14" spans="1:20" x14ac:dyDescent="0.3">
      <c r="B14" t="s">
        <v>0</v>
      </c>
      <c r="E14" s="7">
        <v>1</v>
      </c>
      <c r="F14" s="3"/>
      <c r="G14" t="s">
        <v>77</v>
      </c>
      <c r="I14" s="16" t="s">
        <v>74</v>
      </c>
      <c r="J14" s="15">
        <v>0.95</v>
      </c>
      <c r="N14" s="16"/>
      <c r="Q14" t="s">
        <v>77</v>
      </c>
      <c r="S14" s="16" t="s">
        <v>74</v>
      </c>
      <c r="T14" s="15">
        <v>1.05</v>
      </c>
    </row>
    <row r="15" spans="1:20" x14ac:dyDescent="0.3">
      <c r="B15" t="s">
        <v>46</v>
      </c>
      <c r="E15" s="7">
        <v>2</v>
      </c>
      <c r="F15" s="3"/>
      <c r="G15" t="s">
        <v>78</v>
      </c>
      <c r="I15" s="16" t="s">
        <v>79</v>
      </c>
      <c r="J15" s="15">
        <v>5.5E-2</v>
      </c>
      <c r="L15" t="s">
        <v>78</v>
      </c>
      <c r="N15" s="16" t="s">
        <v>79</v>
      </c>
      <c r="O15" s="15">
        <v>7.0000000000000007E-2</v>
      </c>
      <c r="Q15" t="s">
        <v>78</v>
      </c>
      <c r="S15" s="16" t="s">
        <v>79</v>
      </c>
      <c r="T15" s="15">
        <v>8.5000000000000006E-2</v>
      </c>
    </row>
    <row r="16" spans="1:20" x14ac:dyDescent="0.3">
      <c r="E16" s="3"/>
      <c r="F16" s="3"/>
      <c r="I16" s="16"/>
      <c r="J16" s="16"/>
      <c r="K16" s="3"/>
      <c r="N16" s="16"/>
      <c r="O16" s="16"/>
      <c r="P16" s="3"/>
      <c r="S16" s="3"/>
      <c r="T16" s="3"/>
    </row>
    <row r="17" spans="1:20" x14ac:dyDescent="0.3">
      <c r="B17" s="4" t="s">
        <v>47</v>
      </c>
      <c r="F17" s="3"/>
      <c r="I17" s="16"/>
      <c r="J17" s="16"/>
      <c r="K17" s="3"/>
      <c r="L17" s="3"/>
      <c r="M17" s="3"/>
      <c r="N17" s="16"/>
      <c r="O17" s="16"/>
      <c r="P17" s="3"/>
      <c r="Q17" s="3"/>
      <c r="R17" s="3"/>
      <c r="S17" s="3"/>
      <c r="T17" s="3"/>
    </row>
    <row r="18" spans="1:20" x14ac:dyDescent="0.3">
      <c r="B18" t="s">
        <v>0</v>
      </c>
      <c r="E18" s="17">
        <f>WACC!O18</f>
        <v>0.11984000000000002</v>
      </c>
      <c r="F18" s="3"/>
      <c r="G18" t="s">
        <v>0</v>
      </c>
      <c r="I18" s="16"/>
      <c r="J18" s="17">
        <f>O18+1%</f>
        <v>0.15484000000000003</v>
      </c>
      <c r="K18" s="3"/>
      <c r="L18" t="s">
        <v>0</v>
      </c>
      <c r="N18" s="16"/>
      <c r="O18" s="17">
        <f>T18+2.5%</f>
        <v>0.14484000000000002</v>
      </c>
      <c r="P18" s="3"/>
      <c r="Q18" t="s">
        <v>0</v>
      </c>
      <c r="S18" s="16"/>
      <c r="T18" s="17">
        <f>wacc</f>
        <v>0.11984000000000002</v>
      </c>
    </row>
    <row r="19" spans="1:20" x14ac:dyDescent="0.3">
      <c r="B19" t="s">
        <v>46</v>
      </c>
      <c r="E19" s="17">
        <f>CHOOSE(E15,J19,O19,T19)</f>
        <v>0.02</v>
      </c>
      <c r="G19" t="s">
        <v>46</v>
      </c>
      <c r="I19" s="16"/>
      <c r="J19" s="17">
        <v>1.4999999999999999E-2</v>
      </c>
      <c r="K19" s="3"/>
      <c r="L19" t="s">
        <v>46</v>
      </c>
      <c r="N19" s="16"/>
      <c r="O19" s="17">
        <v>0.02</v>
      </c>
      <c r="P19" s="3"/>
      <c r="Q19" t="s">
        <v>46</v>
      </c>
      <c r="S19" s="16"/>
      <c r="T19" s="17">
        <v>2.5000000000000001E-2</v>
      </c>
    </row>
    <row r="20" spans="1:20" x14ac:dyDescent="0.3">
      <c r="E20" s="18"/>
      <c r="J20" s="18"/>
      <c r="K20" s="3"/>
      <c r="O20" s="18"/>
      <c r="P20" s="3"/>
      <c r="T20" s="18"/>
    </row>
    <row r="21" spans="1:20" x14ac:dyDescent="0.3">
      <c r="A21" s="3" t="s">
        <v>1</v>
      </c>
      <c r="B21" s="6" t="s">
        <v>72</v>
      </c>
      <c r="C21" s="6"/>
      <c r="D21" s="6"/>
      <c r="E21" s="19">
        <v>2020</v>
      </c>
      <c r="F21" s="19">
        <f>E21+1</f>
        <v>2021</v>
      </c>
      <c r="G21" s="19">
        <f t="shared" ref="G21:O21" si="0">F21+1</f>
        <v>2022</v>
      </c>
      <c r="H21" s="19">
        <f t="shared" si="0"/>
        <v>2023</v>
      </c>
      <c r="I21" s="19">
        <f t="shared" si="0"/>
        <v>2024</v>
      </c>
      <c r="J21" s="19">
        <f t="shared" si="0"/>
        <v>2025</v>
      </c>
      <c r="K21" s="20">
        <f t="shared" si="0"/>
        <v>2026</v>
      </c>
      <c r="L21" s="20">
        <f t="shared" si="0"/>
        <v>2027</v>
      </c>
      <c r="M21" s="20">
        <f t="shared" si="0"/>
        <v>2028</v>
      </c>
      <c r="N21" s="20">
        <f t="shared" si="0"/>
        <v>2029</v>
      </c>
      <c r="O21" s="20">
        <f t="shared" si="0"/>
        <v>2030</v>
      </c>
      <c r="P21" s="3"/>
      <c r="T21" s="21"/>
    </row>
    <row r="22" spans="1:20" x14ac:dyDescent="0.3">
      <c r="B22" t="s">
        <v>44</v>
      </c>
      <c r="E22" s="36">
        <f>'Profit &amp; Loss'!F4</f>
        <v>39783</v>
      </c>
      <c r="F22" s="36">
        <f>'Profit &amp; Loss'!G4</f>
        <v>47028</v>
      </c>
      <c r="G22" s="36">
        <f>'Profit &amp; Loss'!H4</f>
        <v>52446</v>
      </c>
      <c r="H22" s="36">
        <f>'Profit &amp; Loss'!I4</f>
        <v>60580</v>
      </c>
      <c r="I22" s="36">
        <f>'Profit &amp; Loss'!J4</f>
        <v>61896</v>
      </c>
      <c r="J22" s="36">
        <f>'Profit &amp; Loss'!K4</f>
        <v>63121</v>
      </c>
      <c r="K22" s="37">
        <f>J22*(1+K23)</f>
        <v>64383.42</v>
      </c>
      <c r="L22" s="37">
        <f t="shared" ref="L22:O22" si="1">K22*(1+L23)</f>
        <v>65671.088399999993</v>
      </c>
      <c r="M22" s="37">
        <f t="shared" si="1"/>
        <v>66984.510167999993</v>
      </c>
      <c r="N22" s="37">
        <f t="shared" si="1"/>
        <v>68324.200371359999</v>
      </c>
      <c r="O22" s="37">
        <f t="shared" si="1"/>
        <v>69690.684378787206</v>
      </c>
      <c r="P22" s="3"/>
    </row>
    <row r="23" spans="1:20" x14ac:dyDescent="0.3">
      <c r="B23" s="23" t="s">
        <v>48</v>
      </c>
      <c r="E23" s="24"/>
      <c r="F23" s="25">
        <f>F22/E22-1</f>
        <v>0.18211296282331646</v>
      </c>
      <c r="G23" s="25">
        <f t="shared" ref="G23:J23" si="2">G22/F22-1</f>
        <v>0.11520796121459553</v>
      </c>
      <c r="H23" s="25">
        <f t="shared" si="2"/>
        <v>0.15509285741524614</v>
      </c>
      <c r="I23" s="25">
        <f t="shared" si="2"/>
        <v>2.1723341036645749E-2</v>
      </c>
      <c r="J23" s="25">
        <f t="shared" si="2"/>
        <v>1.9791262763344974E-2</v>
      </c>
      <c r="K23" s="154">
        <v>0.02</v>
      </c>
      <c r="L23" s="154">
        <v>0.02</v>
      </c>
      <c r="M23" s="154">
        <v>0.02</v>
      </c>
      <c r="N23" s="154">
        <v>0.02</v>
      </c>
      <c r="O23" s="154">
        <v>0.02</v>
      </c>
      <c r="P23" s="3"/>
    </row>
    <row r="24" spans="1:20" x14ac:dyDescent="0.3">
      <c r="N24" s="156"/>
      <c r="O24" s="18"/>
      <c r="P24" s="3"/>
    </row>
    <row r="25" spans="1:20" x14ac:dyDescent="0.3">
      <c r="B25" t="s">
        <v>45</v>
      </c>
      <c r="E25" s="36">
        <f>'Profit &amp; Loss'!F6</f>
        <v>9861</v>
      </c>
      <c r="F25" s="36">
        <f>'Profit &amp; Loss'!G6</f>
        <v>11626</v>
      </c>
      <c r="G25" s="36">
        <f>'Profit &amp; Loss'!H6</f>
        <v>12857</v>
      </c>
      <c r="H25" s="36">
        <f>'Profit &amp; Loss'!I6</f>
        <v>14147</v>
      </c>
      <c r="I25" s="36">
        <f>'Profit &amp; Loss'!J6</f>
        <v>14659</v>
      </c>
      <c r="J25" s="36">
        <f>'Profit &amp; Loss'!K6</f>
        <v>14843</v>
      </c>
      <c r="K25" s="37">
        <f>K22*K26</f>
        <v>15452.020799999998</v>
      </c>
      <c r="L25" s="37">
        <f t="shared" ref="L25:O25" si="3">L22*L26</f>
        <v>15761.061215999998</v>
      </c>
      <c r="M25" s="37">
        <f t="shared" si="3"/>
        <v>16076.282440319997</v>
      </c>
      <c r="N25" s="37">
        <f t="shared" si="3"/>
        <v>16397.8080891264</v>
      </c>
      <c r="O25" s="37">
        <f t="shared" si="3"/>
        <v>16725.764250908927</v>
      </c>
      <c r="P25" s="3"/>
    </row>
    <row r="26" spans="1:20" x14ac:dyDescent="0.3">
      <c r="B26" s="23" t="s">
        <v>49</v>
      </c>
      <c r="E26" s="26">
        <f>E25/E22</f>
        <v>0.24786969308498605</v>
      </c>
      <c r="F26" s="26">
        <f t="shared" ref="F26:J26" si="4">F25/F22</f>
        <v>0.24721442544866887</v>
      </c>
      <c r="G26" s="26">
        <f t="shared" si="4"/>
        <v>0.24514738969606834</v>
      </c>
      <c r="H26" s="26">
        <f t="shared" si="4"/>
        <v>0.23352591614394189</v>
      </c>
      <c r="I26" s="26">
        <f t="shared" si="4"/>
        <v>0.23683275171255008</v>
      </c>
      <c r="J26" s="26">
        <f t="shared" si="4"/>
        <v>0.23515153435465216</v>
      </c>
      <c r="K26" s="155">
        <v>0.24</v>
      </c>
      <c r="L26" s="155">
        <v>0.24</v>
      </c>
      <c r="M26" s="155">
        <v>0.24</v>
      </c>
      <c r="N26" s="155">
        <v>0.24</v>
      </c>
      <c r="O26" s="155">
        <v>0.24</v>
      </c>
      <c r="P26" s="26"/>
      <c r="Q26" s="26"/>
    </row>
    <row r="27" spans="1:20" x14ac:dyDescent="0.3">
      <c r="O27" s="18"/>
      <c r="P27" s="3"/>
    </row>
    <row r="28" spans="1:20" x14ac:dyDescent="0.3">
      <c r="B28" t="s">
        <v>119</v>
      </c>
      <c r="E28" s="157">
        <f>'Profit &amp; Loss'!B10</f>
        <v>6026</v>
      </c>
      <c r="F28" s="157">
        <f>'Profit &amp; Loss'!C10</f>
        <v>6467</v>
      </c>
      <c r="G28" s="157">
        <f>'Profit &amp; Loss'!D10</f>
        <v>7306</v>
      </c>
      <c r="H28" s="157">
        <f>'Profit &amp; Loss'!E10</f>
        <v>8604</v>
      </c>
      <c r="I28" s="157">
        <f>'Profit &amp; Loss'!F10</f>
        <v>9165</v>
      </c>
      <c r="J28" s="157">
        <f>'Profit &amp; Loss'!G10</f>
        <v>10605</v>
      </c>
      <c r="K28" s="37">
        <f>K22*K29</f>
        <v>9657.512999999999</v>
      </c>
      <c r="L28" s="37">
        <f t="shared" ref="L28:O28" si="5">L22*L29</f>
        <v>9850.6632599999994</v>
      </c>
      <c r="M28" s="37">
        <f t="shared" si="5"/>
        <v>10047.676525199999</v>
      </c>
      <c r="N28" s="37">
        <f t="shared" si="5"/>
        <v>10248.630055703999</v>
      </c>
      <c r="O28" s="37">
        <f t="shared" si="5"/>
        <v>10453.602656818081</v>
      </c>
      <c r="P28" s="3"/>
    </row>
    <row r="29" spans="1:20" x14ac:dyDescent="0.3">
      <c r="B29" s="23" t="s">
        <v>49</v>
      </c>
      <c r="E29" s="158">
        <f>E28/E22</f>
        <v>0.1514717341578061</v>
      </c>
      <c r="F29" s="158">
        <f t="shared" ref="F29:J29" si="6">F28/F22</f>
        <v>0.13751382155311728</v>
      </c>
      <c r="G29" s="158">
        <f t="shared" si="6"/>
        <v>0.13930519010029363</v>
      </c>
      <c r="H29" s="158">
        <f t="shared" si="6"/>
        <v>0.14202707164080555</v>
      </c>
      <c r="I29" s="158">
        <f t="shared" si="6"/>
        <v>0.14807095773555642</v>
      </c>
      <c r="J29" s="158">
        <f t="shared" si="6"/>
        <v>0.16801064621916637</v>
      </c>
      <c r="K29" s="155">
        <v>0.15</v>
      </c>
      <c r="L29" s="155">
        <v>0.15</v>
      </c>
      <c r="M29" s="155">
        <v>0.15</v>
      </c>
      <c r="N29" s="155">
        <v>0.15</v>
      </c>
      <c r="O29" s="155">
        <v>0.15</v>
      </c>
      <c r="P29" s="3"/>
    </row>
    <row r="30" spans="1:20" x14ac:dyDescent="0.3">
      <c r="E30" s="157"/>
      <c r="F30" s="157"/>
      <c r="G30" s="157"/>
      <c r="H30" s="157"/>
      <c r="I30" s="157"/>
      <c r="J30" s="157"/>
      <c r="O30" s="18"/>
      <c r="P30" s="3"/>
    </row>
    <row r="31" spans="1:20" x14ac:dyDescent="0.3">
      <c r="B31" t="s">
        <v>50</v>
      </c>
      <c r="E31" s="36">
        <f>'Profit &amp; Loss'!F11</f>
        <v>2409</v>
      </c>
      <c r="F31" s="36">
        <f>'Profit &amp; Loss'!G11</f>
        <v>2606</v>
      </c>
      <c r="G31" s="36">
        <f>'Profit &amp; Loss'!H11</f>
        <v>2987</v>
      </c>
      <c r="H31" s="36">
        <f>'Profit &amp; Loss'!I11</f>
        <v>3201</v>
      </c>
      <c r="I31" s="36">
        <f>'Profit &amp; Loss'!J11</f>
        <v>3644</v>
      </c>
      <c r="J31" s="36">
        <f>'Profit &amp; Loss'!K11</f>
        <v>3744</v>
      </c>
      <c r="K31" s="37">
        <f>K28*K32</f>
        <v>3766.4300699999999</v>
      </c>
      <c r="L31" s="37">
        <f t="shared" ref="L31:O31" si="7">L28*L32</f>
        <v>2364.1591823999997</v>
      </c>
      <c r="M31" s="37">
        <f t="shared" si="7"/>
        <v>2411.4423660479997</v>
      </c>
      <c r="N31" s="37">
        <f t="shared" si="7"/>
        <v>2459.6712133689598</v>
      </c>
      <c r="O31" s="37">
        <f t="shared" si="7"/>
        <v>2508.864637636339</v>
      </c>
      <c r="P31" s="3"/>
    </row>
    <row r="32" spans="1:20" x14ac:dyDescent="0.3">
      <c r="B32" s="23" t="s">
        <v>51</v>
      </c>
      <c r="E32" s="27">
        <f>E31/E28</f>
        <v>0.39976767341520081</v>
      </c>
      <c r="F32" s="27">
        <f t="shared" ref="F32:J32" si="8">F31/F28</f>
        <v>0.40296891912788002</v>
      </c>
      <c r="G32" s="27">
        <f t="shared" si="8"/>
        <v>0.40884204763208321</v>
      </c>
      <c r="H32" s="27">
        <f t="shared" si="8"/>
        <v>0.37203626220362623</v>
      </c>
      <c r="I32" s="27">
        <f t="shared" si="8"/>
        <v>0.39759956355701037</v>
      </c>
      <c r="J32" s="27">
        <f t="shared" si="8"/>
        <v>0.35304101838755303</v>
      </c>
      <c r="K32" s="155">
        <v>0.39</v>
      </c>
      <c r="L32" s="155">
        <v>0.24</v>
      </c>
      <c r="M32" s="155">
        <v>0.24</v>
      </c>
      <c r="N32" s="155">
        <v>0.24</v>
      </c>
      <c r="O32" s="155">
        <v>0.24</v>
      </c>
      <c r="P32" s="3"/>
    </row>
    <row r="33" spans="1:20" x14ac:dyDescent="0.3">
      <c r="O33" s="18"/>
      <c r="P33" s="3"/>
    </row>
    <row r="34" spans="1:20" x14ac:dyDescent="0.3">
      <c r="A34" s="3" t="s">
        <v>1</v>
      </c>
      <c r="B34" s="6" t="s">
        <v>73</v>
      </c>
      <c r="C34" s="6"/>
      <c r="D34" s="6"/>
      <c r="E34" s="19">
        <v>2020</v>
      </c>
      <c r="F34" s="19">
        <f>E34+1</f>
        <v>2021</v>
      </c>
      <c r="G34" s="19">
        <f t="shared" ref="G34:J34" si="9">F34+1</f>
        <v>2022</v>
      </c>
      <c r="H34" s="19">
        <f t="shared" si="9"/>
        <v>2023</v>
      </c>
      <c r="I34" s="19">
        <f t="shared" si="9"/>
        <v>2024</v>
      </c>
      <c r="J34" s="19">
        <f t="shared" si="9"/>
        <v>2025</v>
      </c>
      <c r="O34" s="18"/>
      <c r="P34" s="3"/>
      <c r="T34" s="21"/>
    </row>
    <row r="35" spans="1:20" s="21" customFormat="1" ht="14.55" customHeight="1" x14ac:dyDescent="0.3">
      <c r="A35" s="28"/>
      <c r="B35" t="s">
        <v>52</v>
      </c>
      <c r="C35"/>
      <c r="D35" s="29"/>
      <c r="E35" s="36">
        <f>'Profit &amp; Loss'!F8</f>
        <v>1002</v>
      </c>
      <c r="F35" s="36">
        <f>'Profit &amp; Loss'!G8</f>
        <v>1074</v>
      </c>
      <c r="G35" s="36">
        <f>'Profit &amp; Loss'!H8</f>
        <v>1091</v>
      </c>
      <c r="H35" s="36">
        <f>'Profit &amp; Loss'!I8</f>
        <v>1137</v>
      </c>
      <c r="I35" s="36">
        <f>'Profit &amp; Loss'!J8</f>
        <v>1216</v>
      </c>
      <c r="J35" s="36">
        <f>'Profit &amp; Loss'!K8</f>
        <v>1355</v>
      </c>
      <c r="K35" s="22"/>
      <c r="L35" s="22"/>
      <c r="M35" s="22"/>
      <c r="N35" s="22"/>
      <c r="O35" s="22"/>
      <c r="P35" s="22"/>
      <c r="Q35" s="30"/>
      <c r="R35" s="31"/>
      <c r="S35" s="31"/>
    </row>
    <row r="36" spans="1:20" s="21" customFormat="1" ht="15" customHeight="1" x14ac:dyDescent="0.3">
      <c r="A36" s="28"/>
      <c r="B36" t="s">
        <v>49</v>
      </c>
      <c r="C36"/>
      <c r="D36" s="29"/>
      <c r="E36" s="27">
        <f>E35/E$22</f>
        <v>2.5186637508483524E-2</v>
      </c>
      <c r="F36" s="27">
        <f t="shared" ref="F36:J36" si="10">F35/F$22</f>
        <v>2.2837458535340648E-2</v>
      </c>
      <c r="G36" s="27">
        <f t="shared" si="10"/>
        <v>2.0802349082866187E-2</v>
      </c>
      <c r="H36" s="27">
        <f t="shared" si="10"/>
        <v>1.8768570485308684E-2</v>
      </c>
      <c r="I36" s="27">
        <f t="shared" si="10"/>
        <v>1.9645857567532635E-2</v>
      </c>
      <c r="J36" s="27">
        <f t="shared" si="10"/>
        <v>2.1466706801223048E-2</v>
      </c>
      <c r="K36" s="27"/>
      <c r="L36" s="27"/>
      <c r="M36" s="27"/>
      <c r="N36" s="27"/>
      <c r="O36" s="29"/>
      <c r="P36" s="29"/>
      <c r="Q36" s="29"/>
      <c r="R36" s="29"/>
      <c r="S36" s="29"/>
    </row>
    <row r="37" spans="1:20" s="21" customFormat="1" x14ac:dyDescent="0.3">
      <c r="A37" s="28"/>
      <c r="B37"/>
      <c r="C37"/>
      <c r="D37" s="29"/>
      <c r="E37" s="29"/>
      <c r="F37" s="29"/>
      <c r="G37" s="29"/>
      <c r="H37" s="29"/>
      <c r="I37" s="29"/>
      <c r="J37" s="29"/>
      <c r="K37" s="29"/>
      <c r="L37" s="29"/>
      <c r="M37" s="29"/>
      <c r="N37" s="29"/>
      <c r="O37" s="29"/>
      <c r="P37" s="29"/>
      <c r="Q37" s="29"/>
      <c r="R37" s="29"/>
      <c r="S37" s="29"/>
    </row>
    <row r="38" spans="1:20" s="21" customFormat="1" x14ac:dyDescent="0.3">
      <c r="A38" s="28"/>
      <c r="B38" t="s">
        <v>53</v>
      </c>
      <c r="C38"/>
      <c r="D38" s="29"/>
      <c r="E38" s="36">
        <f>-'Cash Flow'!G23</f>
        <v>767</v>
      </c>
      <c r="F38" s="36">
        <f>-'Cash Flow'!H23</f>
        <v>862</v>
      </c>
      <c r="G38" s="36">
        <f>-'Cash Flow'!I23</f>
        <v>4163</v>
      </c>
      <c r="H38" s="36">
        <f>-'Cash Flow'!J23</f>
        <v>1228</v>
      </c>
      <c r="I38" s="36">
        <f>-'Cash Flow'!K23</f>
        <v>1192</v>
      </c>
      <c r="J38" s="36">
        <f>-'Cash Flow'!L23</f>
        <v>1477</v>
      </c>
      <c r="K38" s="22"/>
      <c r="L38" s="22"/>
      <c r="M38" s="22"/>
      <c r="N38" s="22"/>
      <c r="O38" s="22"/>
      <c r="P38" s="22"/>
      <c r="Q38" s="22"/>
      <c r="R38" s="29"/>
      <c r="S38" s="29"/>
    </row>
    <row r="39" spans="1:20" s="21" customFormat="1" x14ac:dyDescent="0.3">
      <c r="A39" s="28"/>
      <c r="B39" s="32" t="s">
        <v>49</v>
      </c>
      <c r="C39" s="32"/>
      <c r="D39" s="29"/>
      <c r="E39" s="27">
        <f>E38/E$22</f>
        <v>1.9279591785435989E-2</v>
      </c>
      <c r="F39" s="27">
        <f t="shared" ref="F39" si="11">F38/F$22</f>
        <v>1.8329505826316237E-2</v>
      </c>
      <c r="G39" s="27">
        <f t="shared" ref="G39" si="12">G38/G$22</f>
        <v>7.9376882889066844E-2</v>
      </c>
      <c r="H39" s="27">
        <f t="shared" ref="H39" si="13">H38/H$22</f>
        <v>2.0270716408055466E-2</v>
      </c>
      <c r="I39" s="27">
        <f t="shared" ref="I39" si="14">I38/I$22</f>
        <v>1.9258110378699754E-2</v>
      </c>
      <c r="J39" s="27">
        <f t="shared" ref="J39" si="15">J38/J$22</f>
        <v>2.339950254273538E-2</v>
      </c>
      <c r="K39" s="27"/>
      <c r="L39" s="27"/>
      <c r="M39" s="27"/>
      <c r="N39" s="27"/>
      <c r="O39" s="33"/>
      <c r="P39" s="33"/>
      <c r="Q39" s="33"/>
      <c r="R39" s="29"/>
      <c r="S39" s="29"/>
    </row>
    <row r="40" spans="1:20" s="21" customFormat="1" x14ac:dyDescent="0.3">
      <c r="A40" s="28"/>
      <c r="B40"/>
      <c r="C40"/>
      <c r="D40" s="29"/>
      <c r="E40" s="29"/>
      <c r="F40" s="29"/>
      <c r="G40" s="29"/>
      <c r="H40" s="29"/>
      <c r="I40" s="29"/>
      <c r="J40" s="29"/>
      <c r="K40" s="29"/>
      <c r="L40" s="29"/>
      <c r="M40" s="29"/>
      <c r="N40" s="29"/>
      <c r="O40" s="34"/>
      <c r="P40" s="29"/>
      <c r="Q40" s="29"/>
      <c r="R40" s="29"/>
      <c r="S40" s="29"/>
    </row>
    <row r="41" spans="1:20" s="21" customFormat="1" x14ac:dyDescent="0.3">
      <c r="A41" s="28"/>
      <c r="B41" t="s">
        <v>54</v>
      </c>
      <c r="C41"/>
      <c r="D41" s="29"/>
      <c r="E41" s="36">
        <f>-'Cash Flow'!G18</f>
        <v>342</v>
      </c>
      <c r="F41" s="36">
        <f>-'Cash Flow'!H18</f>
        <v>-411</v>
      </c>
      <c r="G41" s="36">
        <f>-'Cash Flow'!I18</f>
        <v>101</v>
      </c>
      <c r="H41" s="36">
        <f>-'Cash Flow'!J18</f>
        <v>1000</v>
      </c>
      <c r="I41" s="36">
        <f>-'Cash Flow'!K18</f>
        <v>960</v>
      </c>
      <c r="J41" s="36">
        <f>-'Cash Flow'!L18</f>
        <v>-1313</v>
      </c>
      <c r="K41" s="22"/>
      <c r="L41" s="22"/>
      <c r="M41" s="22"/>
      <c r="N41" s="22"/>
      <c r="O41" s="29"/>
      <c r="P41" s="29"/>
      <c r="Q41" s="29"/>
      <c r="R41" s="29"/>
      <c r="S41" s="29"/>
    </row>
    <row r="42" spans="1:20" s="21" customFormat="1" x14ac:dyDescent="0.3">
      <c r="A42" s="28"/>
      <c r="B42" s="32" t="s">
        <v>49</v>
      </c>
      <c r="C42" s="32"/>
      <c r="D42" s="29"/>
      <c r="E42" s="27">
        <f>E41/E$22</f>
        <v>8.5966367543925792E-3</v>
      </c>
      <c r="F42" s="27">
        <f t="shared" ref="F42" si="16">F41/F$22</f>
        <v>-8.739474355702985E-3</v>
      </c>
      <c r="G42" s="27">
        <f t="shared" ref="G42" si="17">G41/G$22</f>
        <v>1.9257903367273005E-3</v>
      </c>
      <c r="H42" s="27">
        <f t="shared" ref="H42" si="18">H41/H$22</f>
        <v>1.6507098052162428E-2</v>
      </c>
      <c r="I42" s="27">
        <f t="shared" ref="I42" si="19">I41/I$22</f>
        <v>1.5509887553315239E-2</v>
      </c>
      <c r="J42" s="27">
        <f t="shared" ref="J42" si="20">J41/J$22</f>
        <v>-2.0801318103325358E-2</v>
      </c>
      <c r="K42" s="27"/>
      <c r="L42" s="27"/>
      <c r="M42" s="27"/>
      <c r="N42" s="27"/>
      <c r="O42" s="29"/>
      <c r="P42" s="29"/>
      <c r="Q42" s="29"/>
      <c r="R42" s="29"/>
      <c r="S42" s="29"/>
    </row>
    <row r="43" spans="1:20" x14ac:dyDescent="0.3">
      <c r="A43" s="3"/>
      <c r="B43" s="32" t="s">
        <v>55</v>
      </c>
      <c r="C43" s="32"/>
      <c r="E43" s="35"/>
      <c r="F43" s="25">
        <f>F41/(F22-E22)</f>
        <v>-5.67287784679089E-2</v>
      </c>
      <c r="G43" s="25">
        <f t="shared" ref="G43:J43" si="21">G41/(G22-F22)</f>
        <v>1.8641565153193061E-2</v>
      </c>
      <c r="H43" s="25">
        <f t="shared" si="21"/>
        <v>0.12294074256208508</v>
      </c>
      <c r="I43" s="25">
        <f t="shared" si="21"/>
        <v>0.72948328267477203</v>
      </c>
      <c r="J43" s="25">
        <f t="shared" si="21"/>
        <v>-1.0718367346938775</v>
      </c>
      <c r="K43" s="25"/>
      <c r="L43" s="25"/>
      <c r="M43" s="25"/>
      <c r="N43" s="25"/>
    </row>
    <row r="44" spans="1:20" x14ac:dyDescent="0.3">
      <c r="K44">
        <v>1</v>
      </c>
      <c r="L44">
        <f>K44+1</f>
        <v>2</v>
      </c>
      <c r="M44">
        <f t="shared" ref="M44:P44" si="22">L44+1</f>
        <v>3</v>
      </c>
      <c r="N44">
        <f t="shared" si="22"/>
        <v>4</v>
      </c>
      <c r="O44">
        <f t="shared" si="22"/>
        <v>5</v>
      </c>
      <c r="P44">
        <f t="shared" si="22"/>
        <v>6</v>
      </c>
    </row>
    <row r="45" spans="1:20" x14ac:dyDescent="0.3">
      <c r="A45" s="3" t="s">
        <v>1</v>
      </c>
      <c r="B45" s="6" t="s">
        <v>56</v>
      </c>
      <c r="C45" s="6"/>
      <c r="D45" s="6"/>
      <c r="E45" s="19">
        <v>2019</v>
      </c>
      <c r="F45" s="19">
        <f>E45+1</f>
        <v>2020</v>
      </c>
      <c r="G45" s="19">
        <f t="shared" ref="G45:P45" si="23">F45+1</f>
        <v>2021</v>
      </c>
      <c r="H45" s="19">
        <f t="shared" si="23"/>
        <v>2022</v>
      </c>
      <c r="I45" s="19">
        <f t="shared" si="23"/>
        <v>2023</v>
      </c>
      <c r="J45" s="19">
        <f t="shared" si="23"/>
        <v>2024</v>
      </c>
      <c r="K45" s="20">
        <f t="shared" si="23"/>
        <v>2025</v>
      </c>
      <c r="L45" s="20">
        <f t="shared" si="23"/>
        <v>2026</v>
      </c>
      <c r="M45" s="20">
        <f t="shared" si="23"/>
        <v>2027</v>
      </c>
      <c r="N45" s="20">
        <f t="shared" si="23"/>
        <v>2028</v>
      </c>
      <c r="O45" s="20">
        <f t="shared" si="23"/>
        <v>2029</v>
      </c>
      <c r="P45" s="20">
        <f t="shared" si="23"/>
        <v>2030</v>
      </c>
    </row>
    <row r="46" spans="1:20" x14ac:dyDescent="0.3">
      <c r="B46" t="s">
        <v>44</v>
      </c>
      <c r="E46" s="36">
        <f>E22</f>
        <v>39783</v>
      </c>
      <c r="F46" s="36">
        <f t="shared" ref="F46:J46" si="24">F22</f>
        <v>47028</v>
      </c>
      <c r="G46" s="36">
        <f t="shared" si="24"/>
        <v>52446</v>
      </c>
      <c r="H46" s="36">
        <f t="shared" si="24"/>
        <v>60580</v>
      </c>
      <c r="I46" s="36">
        <f t="shared" si="24"/>
        <v>61896</v>
      </c>
      <c r="J46" s="36">
        <f t="shared" si="24"/>
        <v>63121</v>
      </c>
      <c r="K46" s="37">
        <f ca="1">J46*(1+K47)</f>
        <v>64383.42</v>
      </c>
      <c r="L46" s="37">
        <f t="shared" ref="L46:P46" ca="1" si="25">K46*(1+L47)</f>
        <v>65477.938139999991</v>
      </c>
      <c r="M46" s="37">
        <f t="shared" ca="1" si="25"/>
        <v>66591.063088379989</v>
      </c>
      <c r="N46" s="37">
        <f t="shared" ca="1" si="25"/>
        <v>67609.906353632206</v>
      </c>
      <c r="O46" s="37">
        <f t="shared" ca="1" si="25"/>
        <v>68540.894764121724</v>
      </c>
      <c r="P46" s="37">
        <f t="shared" ca="1" si="25"/>
        <v>69390.322072933486</v>
      </c>
    </row>
    <row r="47" spans="1:20" x14ac:dyDescent="0.3">
      <c r="B47" s="23" t="s">
        <v>48</v>
      </c>
      <c r="E47" s="38"/>
      <c r="F47" s="27">
        <f>F46/E46-1</f>
        <v>0.18211296282331646</v>
      </c>
      <c r="G47" s="27">
        <f t="shared" ref="G47:J47" si="26">G46/F46-1</f>
        <v>0.11520796121459553</v>
      </c>
      <c r="H47" s="27">
        <f t="shared" si="26"/>
        <v>0.15509285741524614</v>
      </c>
      <c r="I47" s="27">
        <f t="shared" si="26"/>
        <v>2.1723341036645749E-2</v>
      </c>
      <c r="J47" s="27">
        <f t="shared" si="26"/>
        <v>1.9791262763344974E-2</v>
      </c>
      <c r="K47" s="39">
        <f ca="1">OFFSET(K47,$E$12,0)</f>
        <v>0.02</v>
      </c>
      <c r="L47" s="39">
        <f t="shared" ref="L47:P47" ca="1" si="27">OFFSET(L47,$E$12,0)</f>
        <v>1.7000000000000001E-2</v>
      </c>
      <c r="M47" s="39">
        <f t="shared" ca="1" si="27"/>
        <v>1.7000000000000001E-2</v>
      </c>
      <c r="N47" s="39">
        <f t="shared" ca="1" si="27"/>
        <v>1.5300000000000001E-2</v>
      </c>
      <c r="O47" s="39">
        <f t="shared" ca="1" si="27"/>
        <v>1.3770000000000001E-2</v>
      </c>
      <c r="P47" s="39">
        <f t="shared" ca="1" si="27"/>
        <v>1.2393000000000001E-2</v>
      </c>
    </row>
    <row r="48" spans="1:20" x14ac:dyDescent="0.3">
      <c r="B48" s="23" t="s">
        <v>39</v>
      </c>
      <c r="K48" s="40">
        <f>$K$23</f>
        <v>0.02</v>
      </c>
      <c r="L48" s="48">
        <f>L49*$J$12</f>
        <v>1.7000000000000001E-2</v>
      </c>
      <c r="M48" s="48">
        <f>M49*$J$12</f>
        <v>1.7000000000000001E-2</v>
      </c>
      <c r="N48" s="47">
        <f>M48*(1+$J$13)</f>
        <v>1.5300000000000001E-2</v>
      </c>
      <c r="O48" s="47">
        <f t="shared" ref="O48:P48" si="28">N48*(1+$J$13)</f>
        <v>1.3770000000000001E-2</v>
      </c>
      <c r="P48" s="47">
        <f t="shared" si="28"/>
        <v>1.2393000000000001E-2</v>
      </c>
    </row>
    <row r="49" spans="2:16" x14ac:dyDescent="0.3">
      <c r="B49" s="23" t="s">
        <v>57</v>
      </c>
      <c r="K49" s="40">
        <f t="shared" ref="K49:K50" si="29">$K$23</f>
        <v>0.02</v>
      </c>
      <c r="L49" s="40">
        <f>L23</f>
        <v>0.02</v>
      </c>
      <c r="M49" s="40">
        <f>M23</f>
        <v>0.02</v>
      </c>
      <c r="N49" s="47">
        <f>M49*(1+$O$13)</f>
        <v>1.9E-2</v>
      </c>
      <c r="O49" s="47">
        <f t="shared" ref="O49:P49" si="30">N49*(1+$O$13)</f>
        <v>1.805E-2</v>
      </c>
      <c r="P49" s="47">
        <f t="shared" si="30"/>
        <v>1.71475E-2</v>
      </c>
    </row>
    <row r="50" spans="2:16" x14ac:dyDescent="0.3">
      <c r="B50" s="23" t="s">
        <v>41</v>
      </c>
      <c r="K50" s="40">
        <f t="shared" si="29"/>
        <v>0.02</v>
      </c>
      <c r="L50" s="48">
        <f>L49*$T$12</f>
        <v>2.3E-2</v>
      </c>
      <c r="M50" s="48">
        <f>M49*$T$12</f>
        <v>2.3E-2</v>
      </c>
      <c r="N50" s="49">
        <f>M50*(1+$T$13)</f>
        <v>2.2425E-2</v>
      </c>
      <c r="O50" s="49">
        <f t="shared" ref="O50:P50" si="31">N50*(1+$T$13)</f>
        <v>2.1864374999999998E-2</v>
      </c>
      <c r="P50" s="49">
        <f t="shared" si="31"/>
        <v>2.1317765624999999E-2</v>
      </c>
    </row>
    <row r="52" spans="2:16" x14ac:dyDescent="0.3">
      <c r="B52" t="s">
        <v>45</v>
      </c>
      <c r="E52" s="36">
        <f>E25</f>
        <v>9861</v>
      </c>
      <c r="F52" s="36">
        <f t="shared" ref="F52:J52" si="32">F25</f>
        <v>11626</v>
      </c>
      <c r="G52" s="36">
        <f t="shared" si="32"/>
        <v>12857</v>
      </c>
      <c r="H52" s="36">
        <f t="shared" si="32"/>
        <v>14147</v>
      </c>
      <c r="I52" s="36">
        <f t="shared" si="32"/>
        <v>14659</v>
      </c>
      <c r="J52" s="36">
        <f t="shared" si="32"/>
        <v>14843</v>
      </c>
      <c r="K52" s="37">
        <f ca="1">K53*K46</f>
        <v>15452.020799999998</v>
      </c>
      <c r="L52" s="37">
        <f t="shared" ref="L52:P52" ca="1" si="33">L53*L46</f>
        <v>14928.969895919996</v>
      </c>
      <c r="M52" s="37">
        <f t="shared" ca="1" si="33"/>
        <v>15182.762384150636</v>
      </c>
      <c r="N52" s="37">
        <f t="shared" ca="1" si="33"/>
        <v>16262.886874302689</v>
      </c>
      <c r="O52" s="37">
        <f t="shared" ca="1" si="33"/>
        <v>17393.60230202274</v>
      </c>
      <c r="P52" s="37">
        <f t="shared" ca="1" si="33"/>
        <v>18577.665082196054</v>
      </c>
    </row>
    <row r="53" spans="2:16" x14ac:dyDescent="0.3">
      <c r="B53" s="23" t="s">
        <v>49</v>
      </c>
      <c r="E53" s="27">
        <f>E52/E$46</f>
        <v>0.24786969308498605</v>
      </c>
      <c r="F53" s="27">
        <f t="shared" ref="F53:J53" si="34">F52/F$46</f>
        <v>0.24721442544866887</v>
      </c>
      <c r="G53" s="27">
        <f t="shared" si="34"/>
        <v>0.24514738969606834</v>
      </c>
      <c r="H53" s="27">
        <f t="shared" si="34"/>
        <v>0.23352591614394189</v>
      </c>
      <c r="I53" s="27">
        <f t="shared" si="34"/>
        <v>0.23683275171255008</v>
      </c>
      <c r="J53" s="27">
        <f t="shared" si="34"/>
        <v>0.23515153435465216</v>
      </c>
      <c r="K53" s="39">
        <f ca="1">OFFSET(K53,$E$13,0)</f>
        <v>0.24</v>
      </c>
      <c r="L53" s="39">
        <f t="shared" ref="L53:P53" ca="1" si="35">OFFSET(L53,$E$13,0)</f>
        <v>0.22799999999999998</v>
      </c>
      <c r="M53" s="39">
        <f t="shared" ca="1" si="35"/>
        <v>0.22799999999999998</v>
      </c>
      <c r="N53" s="39">
        <f t="shared" ca="1" si="35"/>
        <v>0.24053999999999998</v>
      </c>
      <c r="O53" s="39">
        <f t="shared" ca="1" si="35"/>
        <v>0.25376969999999999</v>
      </c>
      <c r="P53" s="39">
        <f t="shared" ca="1" si="35"/>
        <v>0.26772703349999999</v>
      </c>
    </row>
    <row r="54" spans="2:16" x14ac:dyDescent="0.3">
      <c r="B54" s="23" t="s">
        <v>39</v>
      </c>
      <c r="K54" s="40">
        <f>$K$26</f>
        <v>0.24</v>
      </c>
      <c r="L54" s="48">
        <f>L55*$J$14</f>
        <v>0.22799999999999998</v>
      </c>
      <c r="M54" s="48">
        <f>M55*$J$14</f>
        <v>0.22799999999999998</v>
      </c>
      <c r="N54" s="47">
        <f>M54*(1+$J$15)</f>
        <v>0.24053999999999998</v>
      </c>
      <c r="O54" s="47">
        <f t="shared" ref="O54:P54" si="36">N54*(1+$J$15)</f>
        <v>0.25376969999999999</v>
      </c>
      <c r="P54" s="47">
        <f t="shared" si="36"/>
        <v>0.26772703349999999</v>
      </c>
    </row>
    <row r="55" spans="2:16" x14ac:dyDescent="0.3">
      <c r="B55" s="23" t="s">
        <v>57</v>
      </c>
      <c r="K55" s="40">
        <f>$K$26</f>
        <v>0.24</v>
      </c>
      <c r="L55" s="40">
        <f t="shared" ref="L55:M55" si="37">L26</f>
        <v>0.24</v>
      </c>
      <c r="M55" s="40">
        <f t="shared" si="37"/>
        <v>0.24</v>
      </c>
      <c r="N55" s="47">
        <f>M55*(1+$O$15)</f>
        <v>0.25680000000000003</v>
      </c>
      <c r="O55" s="47">
        <f t="shared" ref="O55:P55" si="38">N55*(1+$O$15)</f>
        <v>0.27477600000000002</v>
      </c>
      <c r="P55" s="47">
        <f t="shared" si="38"/>
        <v>0.29401032000000005</v>
      </c>
    </row>
    <row r="56" spans="2:16" x14ac:dyDescent="0.3">
      <c r="B56" s="23" t="s">
        <v>41</v>
      </c>
      <c r="K56" s="40">
        <f>$K$26</f>
        <v>0.24</v>
      </c>
      <c r="L56" s="48">
        <f>L55*$T$14</f>
        <v>0.252</v>
      </c>
      <c r="M56" s="48">
        <f>M55*$T$14</f>
        <v>0.252</v>
      </c>
      <c r="N56" s="47">
        <f>M56*(1+$T$15)</f>
        <v>0.27342</v>
      </c>
      <c r="O56" s="47">
        <f t="shared" ref="O56:P56" si="39">N56*(1+$T$15)</f>
        <v>0.2966607</v>
      </c>
      <c r="P56" s="47">
        <f t="shared" si="39"/>
        <v>0.3218768595</v>
      </c>
    </row>
    <row r="58" spans="2:16" x14ac:dyDescent="0.3">
      <c r="B58" t="s">
        <v>50</v>
      </c>
      <c r="E58" s="36">
        <f>E31</f>
        <v>2409</v>
      </c>
      <c r="F58" s="36">
        <f t="shared" ref="F58:J58" si="40">F31</f>
        <v>2606</v>
      </c>
      <c r="G58" s="36">
        <f t="shared" si="40"/>
        <v>2987</v>
      </c>
      <c r="H58" s="36">
        <f t="shared" si="40"/>
        <v>3201</v>
      </c>
      <c r="I58" s="36">
        <f t="shared" si="40"/>
        <v>3644</v>
      </c>
      <c r="J58" s="36">
        <f t="shared" si="40"/>
        <v>3744</v>
      </c>
      <c r="K58" s="37">
        <f ca="1">K59*K52</f>
        <v>3657.7072358128125</v>
      </c>
      <c r="L58" s="37">
        <f t="shared" ref="L58:P58" ca="1" si="41">L59*L52</f>
        <v>3533.8938458805483</v>
      </c>
      <c r="M58" s="37">
        <f t="shared" ca="1" si="41"/>
        <v>3593.9700412605175</v>
      </c>
      <c r="N58" s="37">
        <f t="shared" ca="1" si="41"/>
        <v>3849.6504609508529</v>
      </c>
      <c r="O58" s="37">
        <f t="shared" ca="1" si="41"/>
        <v>4117.3064559270442</v>
      </c>
      <c r="P58" s="37">
        <f t="shared" ca="1" si="41"/>
        <v>4397.5905077512934</v>
      </c>
    </row>
    <row r="59" spans="2:16" x14ac:dyDescent="0.3">
      <c r="B59" s="23" t="s">
        <v>51</v>
      </c>
      <c r="E59" s="38">
        <f>E58/E52</f>
        <v>0.24429571037420139</v>
      </c>
      <c r="F59" s="38">
        <f t="shared" ref="F59:J59" si="42">F58/F52</f>
        <v>0.22415276105281265</v>
      </c>
      <c r="G59" s="38">
        <f t="shared" si="42"/>
        <v>0.23232480360892899</v>
      </c>
      <c r="H59" s="38">
        <f t="shared" si="42"/>
        <v>0.2262670530854598</v>
      </c>
      <c r="I59" s="38">
        <f t="shared" si="42"/>
        <v>0.24858448734565797</v>
      </c>
      <c r="J59" s="38">
        <f t="shared" si="42"/>
        <v>0.25224011318466616</v>
      </c>
      <c r="K59" s="50">
        <f>AVERAGE(F59:J59)</f>
        <v>0.2367138436555051</v>
      </c>
      <c r="L59" s="38">
        <f>K59</f>
        <v>0.2367138436555051</v>
      </c>
      <c r="M59" s="38">
        <f t="shared" ref="M59:P59" si="43">L59</f>
        <v>0.2367138436555051</v>
      </c>
      <c r="N59" s="38">
        <f t="shared" si="43"/>
        <v>0.2367138436555051</v>
      </c>
      <c r="O59" s="38">
        <f t="shared" si="43"/>
        <v>0.2367138436555051</v>
      </c>
      <c r="P59" s="38">
        <f t="shared" si="43"/>
        <v>0.2367138436555051</v>
      </c>
    </row>
    <row r="61" spans="2:16" x14ac:dyDescent="0.3">
      <c r="B61" s="41" t="s">
        <v>58</v>
      </c>
      <c r="C61" s="42"/>
      <c r="D61" s="42"/>
      <c r="E61" s="42"/>
      <c r="F61" s="42"/>
      <c r="G61" s="42"/>
      <c r="H61" s="42"/>
      <c r="I61" s="42"/>
      <c r="J61" s="42"/>
      <c r="K61" s="43">
        <f ca="1">K52-K58</f>
        <v>11794.313564187185</v>
      </c>
      <c r="L61" s="43">
        <f t="shared" ref="L61:P61" ca="1" si="44">L52-L58</f>
        <v>11395.076050039448</v>
      </c>
      <c r="M61" s="43">
        <f t="shared" ca="1" si="44"/>
        <v>11588.792342890118</v>
      </c>
      <c r="N61" s="43">
        <f t="shared" ca="1" si="44"/>
        <v>12413.236413351835</v>
      </c>
      <c r="O61" s="43">
        <f t="shared" ca="1" si="44"/>
        <v>13276.295846095696</v>
      </c>
      <c r="P61" s="44">
        <f t="shared" ca="1" si="44"/>
        <v>14180.074574444759</v>
      </c>
    </row>
    <row r="63" spans="2:16" x14ac:dyDescent="0.3">
      <c r="B63" t="s">
        <v>52</v>
      </c>
      <c r="E63" s="36">
        <f>E35</f>
        <v>1002</v>
      </c>
      <c r="F63" s="36">
        <f t="shared" ref="F63:J63" si="45">F35</f>
        <v>1074</v>
      </c>
      <c r="G63" s="36">
        <f t="shared" si="45"/>
        <v>1091</v>
      </c>
      <c r="H63" s="36">
        <f t="shared" si="45"/>
        <v>1137</v>
      </c>
      <c r="I63" s="36">
        <f t="shared" si="45"/>
        <v>1216</v>
      </c>
      <c r="J63" s="36">
        <f t="shared" si="45"/>
        <v>1355</v>
      </c>
      <c r="K63" s="37">
        <f ca="1">K64*K$46</f>
        <v>1333.006463597615</v>
      </c>
      <c r="L63" s="37">
        <f t="shared" ref="L63:P63" ca="1" si="46">L64*L$46</f>
        <v>1355.6675734787743</v>
      </c>
      <c r="M63" s="37">
        <f t="shared" ca="1" si="46"/>
        <v>1378.7139222279134</v>
      </c>
      <c r="N63" s="37">
        <f t="shared" ca="1" si="46"/>
        <v>1399.8082452380006</v>
      </c>
      <c r="O63" s="37">
        <f t="shared" ca="1" si="46"/>
        <v>1419.0836047749278</v>
      </c>
      <c r="P63" s="37">
        <f t="shared" ca="1" si="46"/>
        <v>1436.6703078889036</v>
      </c>
    </row>
    <row r="64" spans="2:16" x14ac:dyDescent="0.3">
      <c r="B64" t="s">
        <v>49</v>
      </c>
      <c r="E64" s="27">
        <f>E63/E$46</f>
        <v>2.5186637508483524E-2</v>
      </c>
      <c r="F64" s="27">
        <f t="shared" ref="F64:J64" si="47">F63/F$46</f>
        <v>2.2837458535340648E-2</v>
      </c>
      <c r="G64" s="27">
        <f t="shared" si="47"/>
        <v>2.0802349082866187E-2</v>
      </c>
      <c r="H64" s="27">
        <f t="shared" si="47"/>
        <v>1.8768570485308684E-2</v>
      </c>
      <c r="I64" s="27">
        <f t="shared" si="47"/>
        <v>1.9645857567532635E-2</v>
      </c>
      <c r="J64" s="27">
        <f t="shared" si="47"/>
        <v>2.1466706801223048E-2</v>
      </c>
      <c r="K64" s="50">
        <f>AVERAGE(F64:J64)</f>
        <v>2.070418849445424E-2</v>
      </c>
      <c r="L64" s="38">
        <f>K64</f>
        <v>2.070418849445424E-2</v>
      </c>
      <c r="M64" s="38">
        <f t="shared" ref="M64:P64" si="48">L64</f>
        <v>2.070418849445424E-2</v>
      </c>
      <c r="N64" s="38">
        <f t="shared" si="48"/>
        <v>2.070418849445424E-2</v>
      </c>
      <c r="O64" s="38">
        <f t="shared" si="48"/>
        <v>2.070418849445424E-2</v>
      </c>
      <c r="P64" s="38">
        <f t="shared" si="48"/>
        <v>2.070418849445424E-2</v>
      </c>
    </row>
    <row r="66" spans="2:16" x14ac:dyDescent="0.3">
      <c r="B66" t="s">
        <v>53</v>
      </c>
      <c r="E66" s="36">
        <f>E38</f>
        <v>767</v>
      </c>
      <c r="F66" s="36">
        <f t="shared" ref="F66:J66" si="49">F38</f>
        <v>862</v>
      </c>
      <c r="G66" s="36">
        <f t="shared" si="49"/>
        <v>4163</v>
      </c>
      <c r="H66" s="36">
        <f t="shared" si="49"/>
        <v>1228</v>
      </c>
      <c r="I66" s="36">
        <f t="shared" si="49"/>
        <v>1192</v>
      </c>
      <c r="J66" s="36">
        <f t="shared" si="49"/>
        <v>1477</v>
      </c>
      <c r="K66" s="37">
        <f ca="1">K67*K$46</f>
        <v>2068.442503692936</v>
      </c>
      <c r="L66" s="37">
        <f t="shared" ref="L66" ca="1" si="50">L67*L$46</f>
        <v>2103.6060262557157</v>
      </c>
      <c r="M66" s="37">
        <f t="shared" ref="M66" ca="1" si="51">M67*M$46</f>
        <v>2139.3673287020629</v>
      </c>
      <c r="N66" s="37">
        <f t="shared" ref="N66" ca="1" si="52">N67*N$46</f>
        <v>2172.0996488312048</v>
      </c>
      <c r="O66" s="37">
        <f t="shared" ref="O66" ca="1" si="53">O67*O$46</f>
        <v>2202.0094609956104</v>
      </c>
      <c r="P66" s="37">
        <f t="shared" ref="P66" ca="1" si="54">P67*P$46</f>
        <v>2229.2989642457292</v>
      </c>
    </row>
    <row r="67" spans="2:16" x14ac:dyDescent="0.3">
      <c r="B67" s="32" t="s">
        <v>49</v>
      </c>
      <c r="E67" s="27">
        <f>E66/E$46</f>
        <v>1.9279591785435989E-2</v>
      </c>
      <c r="F67" s="27">
        <f t="shared" ref="F67" si="55">F66/F$46</f>
        <v>1.8329505826316237E-2</v>
      </c>
      <c r="G67" s="27">
        <f t="shared" ref="G67" si="56">G66/G$46</f>
        <v>7.9376882889066844E-2</v>
      </c>
      <c r="H67" s="27">
        <f t="shared" ref="H67" si="57">H66/H$46</f>
        <v>2.0270716408055466E-2</v>
      </c>
      <c r="I67" s="27">
        <f t="shared" ref="I67" si="58">I66/I$46</f>
        <v>1.9258110378699754E-2</v>
      </c>
      <c r="J67" s="27">
        <f t="shared" ref="J67" si="59">J66/J$46</f>
        <v>2.339950254273538E-2</v>
      </c>
      <c r="K67" s="50">
        <f>AVERAGE(F67:J67)</f>
        <v>3.2126943608974737E-2</v>
      </c>
      <c r="L67" s="38">
        <f>K67</f>
        <v>3.2126943608974737E-2</v>
      </c>
      <c r="M67" s="38">
        <f t="shared" ref="M67:P67" si="60">L67</f>
        <v>3.2126943608974737E-2</v>
      </c>
      <c r="N67" s="38">
        <f t="shared" si="60"/>
        <v>3.2126943608974737E-2</v>
      </c>
      <c r="O67" s="38">
        <f t="shared" si="60"/>
        <v>3.2126943608974737E-2</v>
      </c>
      <c r="P67" s="38">
        <f t="shared" si="60"/>
        <v>3.2126943608974737E-2</v>
      </c>
    </row>
    <row r="69" spans="2:16" x14ac:dyDescent="0.3">
      <c r="B69" t="s">
        <v>54</v>
      </c>
      <c r="E69" s="36">
        <f>E41</f>
        <v>342</v>
      </c>
      <c r="F69" s="36">
        <f t="shared" ref="F69:J69" si="61">F41</f>
        <v>-411</v>
      </c>
      <c r="G69" s="36">
        <f t="shared" si="61"/>
        <v>101</v>
      </c>
      <c r="H69" s="36">
        <f t="shared" si="61"/>
        <v>1000</v>
      </c>
      <c r="I69" s="36">
        <f t="shared" si="61"/>
        <v>960</v>
      </c>
      <c r="J69" s="36">
        <f t="shared" si="61"/>
        <v>-1313</v>
      </c>
      <c r="K69" s="37">
        <f ca="1">K70*K$46</f>
        <v>56.682950286084719</v>
      </c>
      <c r="L69" s="37">
        <f t="shared" ref="L69" ca="1" si="62">L70*L$46</f>
        <v>57.64656044094815</v>
      </c>
      <c r="M69" s="37">
        <f t="shared" ref="M69" ca="1" si="63">M70*M$46</f>
        <v>58.626551968444268</v>
      </c>
      <c r="N69" s="37">
        <f t="shared" ref="N69" ca="1" si="64">N70*N$46</f>
        <v>59.523538213561466</v>
      </c>
      <c r="O69" s="37">
        <f t="shared" ref="O69" ca="1" si="65">O70*O$46</f>
        <v>60.34317733476221</v>
      </c>
      <c r="P69" s="37">
        <f t="shared" ref="P69" ca="1" si="66">P70*P$46</f>
        <v>61.091010331471921</v>
      </c>
    </row>
    <row r="70" spans="2:16" x14ac:dyDescent="0.3">
      <c r="B70" s="32" t="s">
        <v>49</v>
      </c>
      <c r="E70" s="27">
        <f>E69/E$46</f>
        <v>8.5966367543925792E-3</v>
      </c>
      <c r="F70" s="27">
        <f t="shared" ref="F70" si="67">F69/F$46</f>
        <v>-8.739474355702985E-3</v>
      </c>
      <c r="G70" s="27">
        <f t="shared" ref="G70" si="68">G69/G$46</f>
        <v>1.9257903367273005E-3</v>
      </c>
      <c r="H70" s="27">
        <f t="shared" ref="H70" si="69">H69/H$46</f>
        <v>1.6507098052162428E-2</v>
      </c>
      <c r="I70" s="27">
        <f t="shared" ref="I70" si="70">I69/I$46</f>
        <v>1.5509887553315239E-2</v>
      </c>
      <c r="J70" s="27">
        <f t="shared" ref="J70" si="71">J69/J$46</f>
        <v>-2.0801318103325358E-2</v>
      </c>
      <c r="K70" s="50">
        <f>AVERAGE(F70:J70)</f>
        <v>8.8039669663532503E-4</v>
      </c>
      <c r="L70" s="38">
        <f>K70</f>
        <v>8.8039669663532503E-4</v>
      </c>
      <c r="M70" s="38">
        <f t="shared" ref="M70:P70" si="72">L70</f>
        <v>8.8039669663532503E-4</v>
      </c>
      <c r="N70" s="38">
        <f t="shared" si="72"/>
        <v>8.8039669663532503E-4</v>
      </c>
      <c r="O70" s="38">
        <f t="shared" si="72"/>
        <v>8.8039669663532503E-4</v>
      </c>
      <c r="P70" s="38">
        <f t="shared" si="72"/>
        <v>8.8039669663532503E-4</v>
      </c>
    </row>
    <row r="72" spans="2:16" x14ac:dyDescent="0.3">
      <c r="B72" s="52" t="s">
        <v>59</v>
      </c>
      <c r="C72" s="53"/>
      <c r="D72" s="53"/>
      <c r="E72" s="53"/>
      <c r="F72" s="53"/>
      <c r="G72" s="53"/>
      <c r="H72" s="53"/>
      <c r="I72" s="53"/>
      <c r="J72" s="53"/>
      <c r="K72" s="54">
        <f ca="1">K61+K63-K66-K69</f>
        <v>11002.19457380578</v>
      </c>
      <c r="L72" s="54">
        <f t="shared" ref="L72:P72" ca="1" si="73">L61+L63-L66-L69</f>
        <v>10589.491036821559</v>
      </c>
      <c r="M72" s="54">
        <f t="shared" ca="1" si="73"/>
        <v>10769.512384447524</v>
      </c>
      <c r="N72" s="54">
        <f t="shared" ca="1" si="73"/>
        <v>11581.421471545069</v>
      </c>
      <c r="O72" s="54">
        <f t="shared" ca="1" si="73"/>
        <v>12433.026812540251</v>
      </c>
      <c r="P72" s="55">
        <f t="shared" ca="1" si="73"/>
        <v>13326.354907756462</v>
      </c>
    </row>
    <row r="73" spans="2:16" x14ac:dyDescent="0.3">
      <c r="B73" s="56" t="s">
        <v>60</v>
      </c>
      <c r="C73" s="1"/>
      <c r="D73" s="1"/>
      <c r="E73" s="1"/>
      <c r="F73" s="1"/>
      <c r="G73" s="1"/>
      <c r="H73" s="1"/>
      <c r="I73" s="1"/>
      <c r="J73" s="1"/>
      <c r="K73" s="57">
        <f ca="1">(K72*K75)/(1+wacc)^K76</f>
        <v>1666.420269471301</v>
      </c>
      <c r="L73" s="57">
        <f ca="1">L72/(1+wacc)^L76</f>
        <v>9835.2897351016709</v>
      </c>
      <c r="M73" s="57">
        <f ca="1">M72/(1+wacc)^M76</f>
        <v>8932.0703498699804</v>
      </c>
      <c r="N73" s="57">
        <f ca="1">N72/(1+wacc)^N76</f>
        <v>8577.5248620207749</v>
      </c>
      <c r="O73" s="57">
        <f ca="1">O72/(1+wacc)^O76</f>
        <v>8222.8243416694822</v>
      </c>
      <c r="P73" s="58">
        <f ca="1">P72/(1+wacc)^P76</f>
        <v>7870.4495907346609</v>
      </c>
    </row>
    <row r="75" spans="2:16" x14ac:dyDescent="0.3">
      <c r="B75" t="s">
        <v>61</v>
      </c>
      <c r="K75" s="51">
        <f ca="1">YEARFRAC(C5,C6)</f>
        <v>0.15277777777777779</v>
      </c>
      <c r="L75" s="9"/>
      <c r="M75" s="9"/>
      <c r="N75" s="9"/>
      <c r="O75" s="9"/>
      <c r="P75" s="9"/>
    </row>
    <row r="76" spans="2:16" x14ac:dyDescent="0.3">
      <c r="B76" t="s">
        <v>62</v>
      </c>
      <c r="K76" s="51">
        <f ca="1">K75/2</f>
        <v>7.6388888888888895E-2</v>
      </c>
      <c r="L76" s="9">
        <f ca="1">K75+0.5</f>
        <v>0.65277777777777779</v>
      </c>
      <c r="M76" s="9">
        <f ca="1">L76+1</f>
        <v>1.6527777777777777</v>
      </c>
      <c r="N76" s="9">
        <f t="shared" ref="N76:P76" ca="1" si="74">M76+1</f>
        <v>2.6527777777777777</v>
      </c>
      <c r="O76" s="9">
        <f t="shared" ca="1" si="74"/>
        <v>3.6527777777777777</v>
      </c>
      <c r="P76" s="9">
        <f t="shared" ca="1" si="74"/>
        <v>4.6527777777777777</v>
      </c>
    </row>
    <row r="78" spans="2:16" x14ac:dyDescent="0.3">
      <c r="B78" t="s">
        <v>63</v>
      </c>
      <c r="P78" s="45">
        <f ca="1">(P72*(1+tgr))/(wacc-tgr)</f>
        <v>136146.65470664654</v>
      </c>
    </row>
    <row r="79" spans="2:16" x14ac:dyDescent="0.3">
      <c r="B79" t="s">
        <v>64</v>
      </c>
      <c r="P79" s="45">
        <f ca="1">P78/(1+wacc)^P76</f>
        <v>80407.237405342079</v>
      </c>
    </row>
    <row r="81" spans="1:16" x14ac:dyDescent="0.3">
      <c r="B81" t="s">
        <v>65</v>
      </c>
      <c r="P81" s="45">
        <f ca="1">SUM(K73:P73,P79)</f>
        <v>125511.81655420995</v>
      </c>
    </row>
    <row r="82" spans="1:16" x14ac:dyDescent="0.3">
      <c r="B82" t="s">
        <v>66</v>
      </c>
      <c r="P82" s="46">
        <f>27210+3404</f>
        <v>30614</v>
      </c>
    </row>
    <row r="83" spans="1:16" x14ac:dyDescent="0.3">
      <c r="B83" t="s">
        <v>67</v>
      </c>
      <c r="P83" s="174">
        <v>1700</v>
      </c>
    </row>
    <row r="84" spans="1:16" x14ac:dyDescent="0.3">
      <c r="B84" t="s">
        <v>68</v>
      </c>
      <c r="P84" s="45">
        <f ca="1">P81+P82-P83</f>
        <v>154425.81655420995</v>
      </c>
    </row>
    <row r="86" spans="1:16" x14ac:dyDescent="0.3">
      <c r="B86" t="s">
        <v>69</v>
      </c>
      <c r="P86" s="45">
        <f ca="1">'Trading Comparables'!E9</f>
        <v>234.95910000000001</v>
      </c>
    </row>
    <row r="87" spans="1:16" x14ac:dyDescent="0.3">
      <c r="A87" t="s">
        <v>1</v>
      </c>
      <c r="B87" t="s">
        <v>70</v>
      </c>
      <c r="P87" s="9">
        <f ca="1">P84/P86</f>
        <v>657.2455229621238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0F029-C25E-40F1-A4DB-B9585FD76560}">
  <dimension ref="A1:N25"/>
  <sheetViews>
    <sheetView workbookViewId="0">
      <selection activeCell="B8" sqref="B8"/>
    </sheetView>
  </sheetViews>
  <sheetFormatPr defaultColWidth="8.77734375" defaultRowHeight="14.4" x14ac:dyDescent="0.3"/>
  <cols>
    <col min="1" max="1" width="20.6640625" customWidth="1"/>
    <col min="2" max="6" width="13.44140625" customWidth="1"/>
    <col min="7" max="7" width="14.77734375" bestFit="1" customWidth="1"/>
    <col min="8" max="11" width="13.44140625" customWidth="1"/>
    <col min="12" max="12" width="13.33203125" customWidth="1"/>
    <col min="13" max="14" width="12.109375" customWidth="1"/>
  </cols>
  <sheetData>
    <row r="1" spans="1:14" s="130" customFormat="1" x14ac:dyDescent="0.3">
      <c r="A1" s="130" t="str">
        <f>'[3]Data Sheet'!B1</f>
        <v>HINDUSTAN UNILEVER LTD</v>
      </c>
      <c r="H1" t="str">
        <f>UPDATE</f>
        <v/>
      </c>
      <c r="J1" s="135"/>
      <c r="K1" s="135"/>
      <c r="M1" s="130" t="s">
        <v>109</v>
      </c>
    </row>
    <row r="3" spans="1:14" s="130" customFormat="1" x14ac:dyDescent="0.3">
      <c r="A3" s="136" t="s">
        <v>110</v>
      </c>
      <c r="B3" s="137">
        <f>'[3]Data Sheet'!B16</f>
        <v>42460</v>
      </c>
      <c r="C3" s="137">
        <f>'[3]Data Sheet'!C16</f>
        <v>42825</v>
      </c>
      <c r="D3" s="137">
        <f>'[3]Data Sheet'!D16</f>
        <v>43190</v>
      </c>
      <c r="E3" s="137">
        <f>'[3]Data Sheet'!E16</f>
        <v>43555</v>
      </c>
      <c r="F3" s="137">
        <f>'[3]Data Sheet'!F16</f>
        <v>43921</v>
      </c>
      <c r="G3" s="137">
        <f>'[3]Data Sheet'!G16</f>
        <v>44286</v>
      </c>
      <c r="H3" s="137">
        <f>'[3]Data Sheet'!H16</f>
        <v>44651</v>
      </c>
      <c r="I3" s="137">
        <f>'[3]Data Sheet'!I16</f>
        <v>45016</v>
      </c>
      <c r="J3" s="137">
        <f>'[3]Data Sheet'!J16</f>
        <v>45382</v>
      </c>
      <c r="K3" s="137">
        <f>'[3]Data Sheet'!K16</f>
        <v>45747</v>
      </c>
      <c r="L3" s="138" t="s">
        <v>111</v>
      </c>
      <c r="M3" s="138" t="s">
        <v>112</v>
      </c>
      <c r="N3" s="138" t="s">
        <v>113</v>
      </c>
    </row>
    <row r="4" spans="1:14" s="130" customFormat="1" x14ac:dyDescent="0.3">
      <c r="A4" s="130" t="s">
        <v>14</v>
      </c>
      <c r="B4" s="139">
        <f>'[3]Data Sheet'!B17</f>
        <v>32186</v>
      </c>
      <c r="C4" s="139">
        <f>'[3]Data Sheet'!C17</f>
        <v>33162</v>
      </c>
      <c r="D4" s="139">
        <f>'[3]Data Sheet'!D17</f>
        <v>35545</v>
      </c>
      <c r="E4" s="139">
        <f>'[3]Data Sheet'!E17</f>
        <v>39310</v>
      </c>
      <c r="F4" s="139">
        <f>'[3]Data Sheet'!F17</f>
        <v>39783</v>
      </c>
      <c r="G4" s="139">
        <f>'[3]Data Sheet'!G17</f>
        <v>47028</v>
      </c>
      <c r="H4" s="139">
        <f>'[3]Data Sheet'!H17</f>
        <v>52446</v>
      </c>
      <c r="I4" s="139">
        <f>'[3]Data Sheet'!I17</f>
        <v>60580</v>
      </c>
      <c r="J4" s="139">
        <f>'[3]Data Sheet'!J17</f>
        <v>61896</v>
      </c>
      <c r="K4" s="139">
        <f>'[3]Data Sheet'!K17</f>
        <v>63121</v>
      </c>
      <c r="L4" s="139">
        <f>SUM([3]Quarters!H4:K4)</f>
        <v>64243</v>
      </c>
      <c r="M4" s="139">
        <f>$K4+M23*K4</f>
        <v>67142.014980470805</v>
      </c>
      <c r="N4" s="139">
        <f>$K4+N23*L4</f>
        <v>64392.450093705571</v>
      </c>
    </row>
    <row r="5" spans="1:14" x14ac:dyDescent="0.3">
      <c r="A5" t="s">
        <v>114</v>
      </c>
      <c r="B5" s="140">
        <f>SUM('[3]Data Sheet'!B18,'[3]Data Sheet'!B20:B24, -1*'[3]Data Sheet'!B19)</f>
        <v>26276</v>
      </c>
      <c r="C5" s="140">
        <f>SUM('[3]Data Sheet'!C18,'[3]Data Sheet'!C20:C24, -1*'[3]Data Sheet'!C19)</f>
        <v>26834</v>
      </c>
      <c r="D5" s="140">
        <f>SUM('[3]Data Sheet'!D18,'[3]Data Sheet'!D20:D24, -1*'[3]Data Sheet'!D19)</f>
        <v>28046</v>
      </c>
      <c r="E5" s="140">
        <f>SUM('[3]Data Sheet'!E18,'[3]Data Sheet'!E20:E24, -1*'[3]Data Sheet'!E19)</f>
        <v>30430</v>
      </c>
      <c r="F5" s="140">
        <f>SUM('[3]Data Sheet'!F18,'[3]Data Sheet'!F20:F24, -1*'[3]Data Sheet'!F19)</f>
        <v>29922</v>
      </c>
      <c r="G5" s="140">
        <f>SUM('[3]Data Sheet'!G18,'[3]Data Sheet'!G20:G24, -1*'[3]Data Sheet'!G19)</f>
        <v>35402</v>
      </c>
      <c r="H5" s="140">
        <f>SUM('[3]Data Sheet'!H18,'[3]Data Sheet'!H20:H24, -1*'[3]Data Sheet'!H19)</f>
        <v>39589</v>
      </c>
      <c r="I5" s="140">
        <f>SUM('[3]Data Sheet'!I18,'[3]Data Sheet'!I20:I24, -1*'[3]Data Sheet'!I19)</f>
        <v>46433</v>
      </c>
      <c r="J5" s="140">
        <f>SUM('[3]Data Sheet'!J18,'[3]Data Sheet'!J20:J24, -1*'[3]Data Sheet'!J19)</f>
        <v>47237</v>
      </c>
      <c r="K5" s="140">
        <f>SUM('[3]Data Sheet'!K18,'[3]Data Sheet'!K20:K24, -1*'[3]Data Sheet'!K19)</f>
        <v>48278</v>
      </c>
      <c r="L5" s="140">
        <f>SUM([3]Quarters!H5:K5)</f>
        <v>49487</v>
      </c>
      <c r="M5" s="140">
        <f t="shared" ref="M5:N5" si="0">M4-M6</f>
        <v>51351.448258581062</v>
      </c>
      <c r="N5" s="140">
        <f t="shared" si="0"/>
        <v>49631.07868226579</v>
      </c>
    </row>
    <row r="6" spans="1:14" s="130" customFormat="1" x14ac:dyDescent="0.3">
      <c r="A6" s="130" t="s">
        <v>115</v>
      </c>
      <c r="B6" s="139">
        <f>B4-B5</f>
        <v>5910</v>
      </c>
      <c r="C6" s="139">
        <f t="shared" ref="C6:K6" si="1">C4-C5</f>
        <v>6328</v>
      </c>
      <c r="D6" s="139">
        <f t="shared" si="1"/>
        <v>7499</v>
      </c>
      <c r="E6" s="139">
        <f t="shared" si="1"/>
        <v>8880</v>
      </c>
      <c r="F6" s="139">
        <f t="shared" si="1"/>
        <v>9861</v>
      </c>
      <c r="G6" s="139">
        <f t="shared" si="1"/>
        <v>11626</v>
      </c>
      <c r="H6" s="139">
        <f t="shared" si="1"/>
        <v>12857</v>
      </c>
      <c r="I6" s="139">
        <f t="shared" si="1"/>
        <v>14147</v>
      </c>
      <c r="J6" s="139">
        <f t="shared" si="1"/>
        <v>14659</v>
      </c>
      <c r="K6" s="139">
        <f t="shared" si="1"/>
        <v>14843</v>
      </c>
      <c r="L6" s="139">
        <f>SUM([3]Quarters!H6:K6)</f>
        <v>14756</v>
      </c>
      <c r="M6" s="139">
        <f>M4*M24</f>
        <v>15790.56672188974</v>
      </c>
      <c r="N6" s="139">
        <f>N4*N24</f>
        <v>14761.371411439783</v>
      </c>
    </row>
    <row r="7" spans="1:14" x14ac:dyDescent="0.3">
      <c r="A7" t="s">
        <v>116</v>
      </c>
      <c r="B7" s="140">
        <f>'[3]Data Sheet'!B25</f>
        <v>486</v>
      </c>
      <c r="C7" s="140">
        <f>'[3]Data Sheet'!C25</f>
        <v>606</v>
      </c>
      <c r="D7" s="140">
        <f>'[3]Data Sheet'!D25</f>
        <v>353</v>
      </c>
      <c r="E7" s="140">
        <f>'[3]Data Sheet'!E25</f>
        <v>322</v>
      </c>
      <c r="F7" s="140">
        <f>'[3]Data Sheet'!F25</f>
        <v>424</v>
      </c>
      <c r="G7" s="140">
        <f>'[3]Data Sheet'!G25</f>
        <v>170</v>
      </c>
      <c r="H7" s="140">
        <f>'[3]Data Sheet'!H25</f>
        <v>219</v>
      </c>
      <c r="I7" s="140">
        <f>'[3]Data Sheet'!I25</f>
        <v>448</v>
      </c>
      <c r="J7" s="140">
        <f>'[3]Data Sheet'!J25</f>
        <v>817</v>
      </c>
      <c r="K7" s="140">
        <f>'[3]Data Sheet'!K25</f>
        <v>1322</v>
      </c>
      <c r="L7" s="140">
        <f>SUM([3]Quarters!H7:K7)</f>
        <v>1316</v>
      </c>
      <c r="M7" s="140">
        <v>0</v>
      </c>
      <c r="N7" s="140">
        <v>0</v>
      </c>
    </row>
    <row r="8" spans="1:14" x14ac:dyDescent="0.3">
      <c r="A8" t="s">
        <v>117</v>
      </c>
      <c r="B8" s="140">
        <f>'[3]Data Sheet'!B26</f>
        <v>353</v>
      </c>
      <c r="C8" s="140">
        <f>'[3]Data Sheet'!C26</f>
        <v>432</v>
      </c>
      <c r="D8" s="140">
        <f>'[3]Data Sheet'!D26</f>
        <v>520</v>
      </c>
      <c r="E8" s="140">
        <f>'[3]Data Sheet'!E26</f>
        <v>565</v>
      </c>
      <c r="F8" s="140">
        <f>'[3]Data Sheet'!F26</f>
        <v>1002</v>
      </c>
      <c r="G8" s="140">
        <f>'[3]Data Sheet'!G26</f>
        <v>1074</v>
      </c>
      <c r="H8" s="140">
        <f>'[3]Data Sheet'!H26</f>
        <v>1091</v>
      </c>
      <c r="I8" s="140">
        <f>'[3]Data Sheet'!I26</f>
        <v>1137</v>
      </c>
      <c r="J8" s="140">
        <f>'[3]Data Sheet'!J26</f>
        <v>1216</v>
      </c>
      <c r="K8" s="140">
        <f>'[3]Data Sheet'!K26</f>
        <v>1355</v>
      </c>
      <c r="L8" s="140">
        <f>SUM([3]Quarters!H8:K8)</f>
        <v>1407</v>
      </c>
      <c r="M8" s="140">
        <f>+$L8</f>
        <v>1407</v>
      </c>
      <c r="N8" s="140">
        <f>+$L8</f>
        <v>1407</v>
      </c>
    </row>
    <row r="9" spans="1:14" x14ac:dyDescent="0.3">
      <c r="A9" t="s">
        <v>118</v>
      </c>
      <c r="B9" s="140">
        <f>'[3]Data Sheet'!B27</f>
        <v>17</v>
      </c>
      <c r="C9" s="140">
        <f>'[3]Data Sheet'!C27</f>
        <v>35</v>
      </c>
      <c r="D9" s="140">
        <f>'[3]Data Sheet'!D27</f>
        <v>26</v>
      </c>
      <c r="E9" s="140">
        <f>'[3]Data Sheet'!E27</f>
        <v>33</v>
      </c>
      <c r="F9" s="140">
        <f>'[3]Data Sheet'!F27</f>
        <v>118</v>
      </c>
      <c r="G9" s="140">
        <f>'[3]Data Sheet'!G27</f>
        <v>117</v>
      </c>
      <c r="H9" s="140">
        <f>'[3]Data Sheet'!H27</f>
        <v>106</v>
      </c>
      <c r="I9" s="140">
        <f>'[3]Data Sheet'!I27</f>
        <v>114</v>
      </c>
      <c r="J9" s="140">
        <f>'[3]Data Sheet'!J27</f>
        <v>334</v>
      </c>
      <c r="K9" s="140">
        <f>'[3]Data Sheet'!K27</f>
        <v>395</v>
      </c>
      <c r="L9" s="140">
        <f>SUM([3]Quarters!H9:K9)</f>
        <v>448</v>
      </c>
      <c r="M9" s="140">
        <f>+$L9</f>
        <v>448</v>
      </c>
      <c r="N9" s="140">
        <f>+$L9</f>
        <v>448</v>
      </c>
    </row>
    <row r="10" spans="1:14" x14ac:dyDescent="0.3">
      <c r="A10" t="s">
        <v>119</v>
      </c>
      <c r="B10" s="140">
        <f>'[3]Data Sheet'!B28</f>
        <v>6026</v>
      </c>
      <c r="C10" s="140">
        <f>'[3]Data Sheet'!C28</f>
        <v>6467</v>
      </c>
      <c r="D10" s="140">
        <f>'[3]Data Sheet'!D28</f>
        <v>7306</v>
      </c>
      <c r="E10" s="140">
        <f>'[3]Data Sheet'!E28</f>
        <v>8604</v>
      </c>
      <c r="F10" s="140">
        <f>'[3]Data Sheet'!F28</f>
        <v>9165</v>
      </c>
      <c r="G10" s="140">
        <f>'[3]Data Sheet'!G28</f>
        <v>10605</v>
      </c>
      <c r="H10" s="140">
        <f>'[3]Data Sheet'!H28</f>
        <v>11879</v>
      </c>
      <c r="I10" s="140">
        <f>'[3]Data Sheet'!I28</f>
        <v>13344</v>
      </c>
      <c r="J10" s="140">
        <f>'[3]Data Sheet'!J28</f>
        <v>13926</v>
      </c>
      <c r="K10" s="140">
        <f>'[3]Data Sheet'!K28</f>
        <v>14415</v>
      </c>
      <c r="L10" s="140">
        <f>SUM([3]Quarters!H10:K10)</f>
        <v>14217</v>
      </c>
      <c r="M10" s="140">
        <f>M6+M7-SUM(M8:M9)</f>
        <v>13935.56672188974</v>
      </c>
      <c r="N10" s="140">
        <f>N6+N7-SUM(N8:N9)</f>
        <v>12906.371411439783</v>
      </c>
    </row>
    <row r="11" spans="1:14" x14ac:dyDescent="0.3">
      <c r="A11" t="s">
        <v>120</v>
      </c>
      <c r="B11" s="140">
        <f>'[3]Data Sheet'!B29</f>
        <v>1875</v>
      </c>
      <c r="C11" s="140">
        <f>'[3]Data Sheet'!C29</f>
        <v>1977</v>
      </c>
      <c r="D11" s="140">
        <f>'[3]Data Sheet'!D29</f>
        <v>2079</v>
      </c>
      <c r="E11" s="140">
        <f>'[3]Data Sheet'!E29</f>
        <v>2544</v>
      </c>
      <c r="F11" s="140">
        <f>'[3]Data Sheet'!F29</f>
        <v>2409</v>
      </c>
      <c r="G11" s="140">
        <f>'[3]Data Sheet'!G29</f>
        <v>2606</v>
      </c>
      <c r="H11" s="140">
        <f>'[3]Data Sheet'!H29</f>
        <v>2987</v>
      </c>
      <c r="I11" s="140">
        <f>'[3]Data Sheet'!I29</f>
        <v>3201</v>
      </c>
      <c r="J11" s="140">
        <f>'[3]Data Sheet'!J29</f>
        <v>3644</v>
      </c>
      <c r="K11" s="140">
        <f>'[3]Data Sheet'!K29</f>
        <v>3744</v>
      </c>
      <c r="L11" s="140">
        <f>SUM([3]Quarters!H11:K11)</f>
        <v>3291</v>
      </c>
      <c r="M11" s="141">
        <f>IF($L10&gt;0,$L11/$L10,0)</f>
        <v>0.231483435323908</v>
      </c>
      <c r="N11" s="141">
        <f>IF($L10&gt;0,$L11/$L10,0)</f>
        <v>0.231483435323908</v>
      </c>
    </row>
    <row r="12" spans="1:14" s="130" customFormat="1" x14ac:dyDescent="0.3">
      <c r="A12" s="130" t="s">
        <v>121</v>
      </c>
      <c r="B12" s="139">
        <f>'[3]Data Sheet'!B30</f>
        <v>4151</v>
      </c>
      <c r="C12" s="139">
        <f>'[3]Data Sheet'!C30</f>
        <v>4476</v>
      </c>
      <c r="D12" s="139">
        <f>'[3]Data Sheet'!D30</f>
        <v>5214</v>
      </c>
      <c r="E12" s="139">
        <f>'[3]Data Sheet'!E30</f>
        <v>6054</v>
      </c>
      <c r="F12" s="139">
        <f>'[3]Data Sheet'!F30</f>
        <v>6748</v>
      </c>
      <c r="G12" s="139">
        <f>'[3]Data Sheet'!G30</f>
        <v>7995</v>
      </c>
      <c r="H12" s="139">
        <f>'[3]Data Sheet'!H30</f>
        <v>8879</v>
      </c>
      <c r="I12" s="139">
        <f>'[3]Data Sheet'!I30</f>
        <v>10120</v>
      </c>
      <c r="J12" s="139">
        <f>'[3]Data Sheet'!J30</f>
        <v>10277</v>
      </c>
      <c r="K12" s="139">
        <f>'[3]Data Sheet'!K30</f>
        <v>10649</v>
      </c>
      <c r="L12" s="139">
        <f>SUM([3]Quarters!H12:K12)</f>
        <v>10889</v>
      </c>
      <c r="M12" s="139">
        <f>M10-M11*M10</f>
        <v>10709.713863921172</v>
      </c>
      <c r="N12" s="139">
        <f>N10-N11*N10</f>
        <v>9918.7602195534273</v>
      </c>
    </row>
    <row r="13" spans="1:14" x14ac:dyDescent="0.3">
      <c r="A13" t="s">
        <v>122</v>
      </c>
      <c r="B13" s="140">
        <f>IF('[3]Data Sheet'!B93&gt;0,B12/'[3]Data Sheet'!B93,0)</f>
        <v>19.182956698553539</v>
      </c>
      <c r="C13" s="140">
        <f>IF('[3]Data Sheet'!C93&gt;0,C12/'[3]Data Sheet'!C93,0)</f>
        <v>20.681051610220393</v>
      </c>
      <c r="D13" s="140">
        <f>IF('[3]Data Sheet'!D93&gt;0,D12/'[3]Data Sheet'!D93,0)</f>
        <v>24.088704088704091</v>
      </c>
      <c r="E13" s="140">
        <f>IF('[3]Data Sheet'!E93&gt;0,E12/'[3]Data Sheet'!E93,0)</f>
        <v>27.966923823162563</v>
      </c>
      <c r="F13" s="140">
        <f>IF('[3]Data Sheet'!F93&gt;0,F12/'[3]Data Sheet'!F93,0)</f>
        <v>31.171470805617147</v>
      </c>
      <c r="G13" s="140">
        <f>IF('[3]Data Sheet'!G93&gt;0,G12/'[3]Data Sheet'!G93,0)</f>
        <v>34.027068437180795</v>
      </c>
      <c r="H13" s="140">
        <f>IF('[3]Data Sheet'!H93&gt;0,H12/'[3]Data Sheet'!H93,0)</f>
        <v>37.789410963568265</v>
      </c>
      <c r="I13" s="140">
        <f>IF('[3]Data Sheet'!I93&gt;0,I12/'[3]Data Sheet'!I93,0)</f>
        <v>43.071161048689135</v>
      </c>
      <c r="J13" s="140">
        <f>IF('[3]Data Sheet'!J93&gt;0,J12/'[3]Data Sheet'!J93,0)</f>
        <v>43.739359891045282</v>
      </c>
      <c r="K13" s="140">
        <f>IF('[3]Data Sheet'!K93&gt;0,K12/'[3]Data Sheet'!K93,0)</f>
        <v>45.32260810350698</v>
      </c>
      <c r="L13" s="140">
        <f>IF('[3]Data Sheet'!$B6&gt;0,'[3]Profit &amp; Loss'!L12/'[3]Data Sheet'!$B6,0)</f>
        <v>46.351072014896531</v>
      </c>
      <c r="M13" s="140">
        <f>IF('[3]Data Sheet'!$B6&gt;0,'[3]Profit &amp; Loss'!M12/'[3]Data Sheet'!$B6,0)</f>
        <v>45.587906930438606</v>
      </c>
      <c r="N13" s="140">
        <f>IF('[3]Data Sheet'!$B6&gt;0,'[3]Profit &amp; Loss'!N12/'[3]Data Sheet'!$B6,0)</f>
        <v>42.221064306640812</v>
      </c>
    </row>
    <row r="14" spans="1:14" x14ac:dyDescent="0.3">
      <c r="A14" t="s">
        <v>123</v>
      </c>
      <c r="B14" s="140">
        <f>IF(B15&gt;0,B15/B13,"")</f>
        <v>43.380695326427357</v>
      </c>
      <c r="C14" s="140">
        <f t="shared" ref="C14:K14" si="2">IF(C15&gt;0,C15/C13,"")</f>
        <v>42.193695777479896</v>
      </c>
      <c r="D14" s="140">
        <f t="shared" si="2"/>
        <v>52.975452531645558</v>
      </c>
      <c r="E14" s="140">
        <f t="shared" si="2"/>
        <v>58.409355649157582</v>
      </c>
      <c r="F14" s="140">
        <f t="shared" si="2"/>
        <v>70.571902548903381</v>
      </c>
      <c r="G14" s="140">
        <f t="shared" si="2"/>
        <v>68.390258311444654</v>
      </c>
      <c r="H14" s="140">
        <f t="shared" si="2"/>
        <v>51.88490505687578</v>
      </c>
      <c r="I14" s="140">
        <f t="shared" si="2"/>
        <v>56.892824347826092</v>
      </c>
      <c r="J14" s="140">
        <f t="shared" si="2"/>
        <v>49.546678447017612</v>
      </c>
      <c r="K14" s="140">
        <f t="shared" si="2"/>
        <v>47.699814517795097</v>
      </c>
      <c r="L14" s="140">
        <f t="shared" ref="L14" si="3">IF(L13&gt;0,L15/L13,0)</f>
        <v>50.794941684268522</v>
      </c>
      <c r="M14" s="140">
        <f>M25</f>
        <v>51.233564749226829</v>
      </c>
      <c r="N14" s="140">
        <f>N25</f>
        <v>50.794941684268522</v>
      </c>
    </row>
    <row r="15" spans="1:14" s="130" customFormat="1" x14ac:dyDescent="0.3">
      <c r="A15" s="130" t="s">
        <v>20</v>
      </c>
      <c r="B15" s="139">
        <f>'[3]Data Sheet'!B90</f>
        <v>832.17</v>
      </c>
      <c r="C15" s="139">
        <f>'[3]Data Sheet'!C90</f>
        <v>872.61</v>
      </c>
      <c r="D15" s="139">
        <f>'[3]Data Sheet'!D90</f>
        <v>1276.1099999999999</v>
      </c>
      <c r="E15" s="139">
        <f>'[3]Data Sheet'!E90</f>
        <v>1633.53</v>
      </c>
      <c r="F15" s="139">
        <f>'[3]Data Sheet'!F90</f>
        <v>2199.83</v>
      </c>
      <c r="G15" s="139">
        <f>'[3]Data Sheet'!G90</f>
        <v>2327.12</v>
      </c>
      <c r="H15" s="139">
        <f>'[3]Data Sheet'!H90</f>
        <v>1960.7</v>
      </c>
      <c r="I15" s="139">
        <f>'[3]Data Sheet'!I90</f>
        <v>2450.44</v>
      </c>
      <c r="J15" s="139">
        <f>'[3]Data Sheet'!J90</f>
        <v>2167.14</v>
      </c>
      <c r="K15" s="139">
        <f>'[3]Data Sheet'!K90</f>
        <v>2161.88</v>
      </c>
      <c r="L15" s="139">
        <f>'[3]Data Sheet'!B8</f>
        <v>2354.4</v>
      </c>
      <c r="M15" s="142">
        <f>M13*M14</f>
        <v>2335.6309815023528</v>
      </c>
      <c r="N15" s="143">
        <f>N13*N14</f>
        <v>2144.6164993035713</v>
      </c>
    </row>
    <row r="17" spans="1:14" s="130" customFormat="1" x14ac:dyDescent="0.3">
      <c r="A17" s="130" t="s">
        <v>124</v>
      </c>
    </row>
    <row r="18" spans="1:14" x14ac:dyDescent="0.3">
      <c r="A18" t="s">
        <v>125</v>
      </c>
      <c r="B18" s="111">
        <f>IF('[3]Data Sheet'!B30&gt;0, '[3]Data Sheet'!B31/'[3]Data Sheet'!B30, 0)</f>
        <v>0.8325704649482053</v>
      </c>
      <c r="C18" s="111">
        <f>IF('[3]Data Sheet'!C30&gt;0, '[3]Data Sheet'!C31/'[3]Data Sheet'!C30, 0)</f>
        <v>0.82037533512064342</v>
      </c>
      <c r="D18" s="111">
        <f>IF('[3]Data Sheet'!D30&gt;0, '[3]Data Sheet'!D31/'[3]Data Sheet'!D30, 0)</f>
        <v>0.8285385500575374</v>
      </c>
      <c r="E18" s="111">
        <f>IF('[3]Data Sheet'!E30&gt;0, '[3]Data Sheet'!E31/'[3]Data Sheet'!E30, 0)</f>
        <v>0.78493557978196238</v>
      </c>
      <c r="F18" s="111">
        <f>IF('[3]Data Sheet'!F30&gt;0, '[3]Data Sheet'!F31/'[3]Data Sheet'!F30, 0)</f>
        <v>0.80023710729104924</v>
      </c>
      <c r="G18" s="111">
        <f>IF('[3]Data Sheet'!G30&gt;0, '[3]Data Sheet'!G31/'[3]Data Sheet'!G30, 0)</f>
        <v>1.1904315196998123</v>
      </c>
      <c r="H18" s="111">
        <f>IF('[3]Data Sheet'!H30&gt;0, '[3]Data Sheet'!H31/'[3]Data Sheet'!H30, 0)</f>
        <v>0.89987611217479446</v>
      </c>
      <c r="I18" s="111">
        <f>IF('[3]Data Sheet'!I30&gt;0, '[3]Data Sheet'!I31/'[3]Data Sheet'!I30, 0)</f>
        <v>0.90563241106719372</v>
      </c>
      <c r="J18" s="111">
        <f>IF('[3]Data Sheet'!J30&gt;0, '[3]Data Sheet'!J31/'[3]Data Sheet'!J30, 0)</f>
        <v>0.96039700301644448</v>
      </c>
      <c r="K18" s="111">
        <f>IF('[3]Data Sheet'!K30&gt;0, '[3]Data Sheet'!K31/'[3]Data Sheet'!K30, 0)</f>
        <v>1.1695933890506152</v>
      </c>
    </row>
    <row r="19" spans="1:14" x14ac:dyDescent="0.3">
      <c r="A19" t="s">
        <v>126</v>
      </c>
      <c r="B19" s="111">
        <f t="shared" ref="B19:L19" si="4">IF(B6&gt;0,B6/B4,0)</f>
        <v>0.18362020754365252</v>
      </c>
      <c r="C19" s="111">
        <f t="shared" si="4"/>
        <v>0.1908208190097099</v>
      </c>
      <c r="D19" s="111">
        <f t="shared" si="4"/>
        <v>0.21097200731467156</v>
      </c>
      <c r="E19" s="111">
        <f t="shared" si="4"/>
        <v>0.2258967183922666</v>
      </c>
      <c r="F19" s="111">
        <f t="shared" si="4"/>
        <v>0.24786969308498605</v>
      </c>
      <c r="G19" s="111">
        <f t="shared" si="4"/>
        <v>0.24721442544866887</v>
      </c>
      <c r="H19" s="111">
        <f t="shared" si="4"/>
        <v>0.24514738969606834</v>
      </c>
      <c r="I19" s="111">
        <f t="shared" si="4"/>
        <v>0.23352591614394189</v>
      </c>
      <c r="J19" s="111">
        <f t="shared" si="4"/>
        <v>0.23683275171255008</v>
      </c>
      <c r="K19" s="111">
        <f t="shared" si="4"/>
        <v>0.23515153435465216</v>
      </c>
      <c r="L19" s="111">
        <f t="shared" si="4"/>
        <v>0.22969039428420218</v>
      </c>
    </row>
    <row r="20" spans="1:14" x14ac:dyDescent="0.3">
      <c r="B20" s="111"/>
      <c r="C20" s="111"/>
      <c r="D20" s="111"/>
      <c r="E20" s="111"/>
      <c r="F20" s="111"/>
      <c r="G20" s="111"/>
      <c r="H20" s="111"/>
      <c r="I20" s="111"/>
      <c r="J20" s="111"/>
      <c r="K20" s="111"/>
      <c r="L20" s="111"/>
    </row>
    <row r="21" spans="1:14" x14ac:dyDescent="0.3">
      <c r="B21" s="111"/>
      <c r="C21" s="111"/>
      <c r="D21" s="111"/>
      <c r="E21" s="111"/>
      <c r="F21" s="111"/>
      <c r="G21" s="111"/>
      <c r="H21" s="111"/>
      <c r="I21" s="111"/>
      <c r="J21" s="111"/>
      <c r="K21" s="111"/>
      <c r="L21" s="111"/>
    </row>
    <row r="22" spans="1:14" s="130" customFormat="1" x14ac:dyDescent="0.3">
      <c r="A22" s="136"/>
      <c r="B22" s="137"/>
      <c r="C22" s="137"/>
      <c r="D22" s="137"/>
      <c r="E22" s="137"/>
      <c r="F22" s="137"/>
      <c r="G22" s="137" t="s">
        <v>127</v>
      </c>
      <c r="H22" s="137" t="s">
        <v>128</v>
      </c>
      <c r="I22" s="137" t="s">
        <v>129</v>
      </c>
      <c r="J22" s="137" t="s">
        <v>130</v>
      </c>
      <c r="K22" s="137" t="s">
        <v>131</v>
      </c>
      <c r="L22" s="138" t="s">
        <v>132</v>
      </c>
      <c r="M22" s="138" t="s">
        <v>133</v>
      </c>
      <c r="N22" s="138" t="s">
        <v>134</v>
      </c>
    </row>
    <row r="23" spans="1:14" s="130" customFormat="1" x14ac:dyDescent="0.3">
      <c r="A23"/>
      <c r="B23"/>
      <c r="C23"/>
      <c r="D23"/>
      <c r="E23"/>
      <c r="F23"/>
      <c r="G23" t="s">
        <v>135</v>
      </c>
      <c r="H23" s="111">
        <f>IF(B4=0,"",POWER($K4/B4,1/9)-1)</f>
        <v>7.7707146164861518E-2</v>
      </c>
      <c r="I23" s="111">
        <f>IF(D4=0,"",POWER($K4/D4,1/7)-1)</f>
        <v>8.5495200164738439E-2</v>
      </c>
      <c r="J23" s="111">
        <f>IF(F4=0,"",POWER($K4/F4,1/5)-1)</f>
        <v>9.6718749336330845E-2</v>
      </c>
      <c r="K23" s="111">
        <f>IF(H4=0,"",POWER($K4/H4, 1/3)-1)</f>
        <v>6.3703283859108728E-2</v>
      </c>
      <c r="L23" s="111">
        <f>IF(ISERROR(MAX(IF(J4=0,"",(K4-J4)/J4),IF(K4=0,"",(L4-K4)/K4))),"",MAX(IF(J4=0,"",(K4-J4)/J4),IF(K4=0,"",(L4-K4)/K4)))</f>
        <v>1.9791262763344964E-2</v>
      </c>
      <c r="M23" s="144">
        <f>MAX(K23:L23)</f>
        <v>6.3703283859108728E-2</v>
      </c>
      <c r="N23" s="144">
        <f>MIN(H23:L23)</f>
        <v>1.9791262763344964E-2</v>
      </c>
    </row>
    <row r="24" spans="1:14" x14ac:dyDescent="0.3">
      <c r="G24" t="s">
        <v>126</v>
      </c>
      <c r="H24" s="111">
        <f>IF(SUM(B4:$K$4)=0,"",SUMPRODUCT(B19:$K$19,B4:$K$4)/SUM(B4:$K$4))</f>
        <v>0.22924071672934715</v>
      </c>
      <c r="I24" s="111">
        <f>IF(SUM(E4:$K$4)=0,"",SUMPRODUCT(E19:$K$19,E4:$K$4)/SUM(E4:$K$4))</f>
        <v>0.23855460726485869</v>
      </c>
      <c r="J24" s="111">
        <f>IF(SUM(G4:$K$4)=0,"",SUMPRODUCT(G19:$K$19,G4:$K$4)/SUM(G4:$K$4))</f>
        <v>0.23900010874483901</v>
      </c>
      <c r="K24" s="111">
        <f>IF(SUM(I4:$K$4)=0, "", SUMPRODUCT(I19:$K$19,I4:$K$4)/SUM(I4:$K$4))</f>
        <v>0.23518160315091299</v>
      </c>
      <c r="L24" s="111">
        <f>L19</f>
        <v>0.22969039428420218</v>
      </c>
      <c r="M24" s="144">
        <f>MAX(K24:L24)</f>
        <v>0.23518160315091299</v>
      </c>
      <c r="N24" s="144">
        <f>MIN(H24:L24)</f>
        <v>0.22924071672934715</v>
      </c>
    </row>
    <row r="25" spans="1:14" x14ac:dyDescent="0.3">
      <c r="G25" t="s">
        <v>136</v>
      </c>
      <c r="H25" s="140">
        <f>IF(ISERROR(AVERAGEIF(B14:$L14,"&gt;0")),"",AVERAGEIF(B14:$L14,"&gt;0"))</f>
        <v>53.885502199894681</v>
      </c>
      <c r="I25" s="140">
        <f>IF(ISERROR(AVERAGEIF(E14:$L14,"&gt;0")),"",AVERAGEIF(E14:$L14,"&gt;0"))</f>
        <v>56.773835070411089</v>
      </c>
      <c r="J25" s="140">
        <f>IF(ISERROR(AVERAGEIF(G14:$L14,"&gt;0")),"",AVERAGEIF(G14:$L14,"&gt;0"))</f>
        <v>54.201570394204623</v>
      </c>
      <c r="K25" s="140">
        <f>IF(ISERROR(AVERAGEIF(I14:$L14,"&gt;0")),"",AVERAGEIF(I14:$L14,"&gt;0"))</f>
        <v>51.233564749226829</v>
      </c>
      <c r="L25" s="140">
        <f>L14</f>
        <v>50.794941684268522</v>
      </c>
      <c r="M25" s="139">
        <f>MAX(K25:L25)</f>
        <v>51.233564749226829</v>
      </c>
      <c r="N25" s="139">
        <f>MIN(H25:L25)</f>
        <v>50.794941684268522</v>
      </c>
    </row>
  </sheetData>
  <hyperlinks>
    <hyperlink ref="M1" r:id="rId1" xr:uid="{9627E4A3-A6BB-4229-8A1A-21DC2F6AA9AA}"/>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F276-984B-4EA5-A8E8-A76AA4F550FC}">
  <dimension ref="A1:K22"/>
  <sheetViews>
    <sheetView workbookViewId="0">
      <selection activeCell="G4" sqref="G4"/>
    </sheetView>
  </sheetViews>
  <sheetFormatPr defaultColWidth="8.77734375" defaultRowHeight="14.4" x14ac:dyDescent="0.3"/>
  <cols>
    <col min="1" max="1" width="20.6640625" customWidth="1"/>
    <col min="2" max="11" width="13.44140625" bestFit="1" customWidth="1"/>
  </cols>
  <sheetData>
    <row r="1" spans="1:11" s="130" customFormat="1" x14ac:dyDescent="0.3">
      <c r="A1" s="130" t="str">
        <f>'[3]Profit &amp; Loss'!A1</f>
        <v>HINDUSTAN UNILEVER LTD</v>
      </c>
      <c r="E1" t="str">
        <f>UPDATE</f>
        <v/>
      </c>
      <c r="J1" s="130" t="s">
        <v>109</v>
      </c>
    </row>
    <row r="3" spans="1:11" s="130" customFormat="1" x14ac:dyDescent="0.3">
      <c r="A3" s="136" t="s">
        <v>110</v>
      </c>
      <c r="B3" s="137">
        <f>'[3]Data Sheet'!B41</f>
        <v>45107</v>
      </c>
      <c r="C3" s="137">
        <f>'[3]Data Sheet'!C41</f>
        <v>45199</v>
      </c>
      <c r="D3" s="137">
        <f>'[3]Data Sheet'!D41</f>
        <v>45291</v>
      </c>
      <c r="E3" s="137">
        <f>'[3]Data Sheet'!E41</f>
        <v>45382</v>
      </c>
      <c r="F3" s="137">
        <f>'[3]Data Sheet'!F41</f>
        <v>45473</v>
      </c>
      <c r="G3" s="137">
        <f>'[3]Data Sheet'!G41</f>
        <v>45565</v>
      </c>
      <c r="H3" s="137">
        <f>'[3]Data Sheet'!H41</f>
        <v>45657</v>
      </c>
      <c r="I3" s="137">
        <f>'[3]Data Sheet'!I41</f>
        <v>45747</v>
      </c>
      <c r="J3" s="137">
        <f>'[3]Data Sheet'!J41</f>
        <v>45838</v>
      </c>
      <c r="K3" s="137">
        <f>'[3]Data Sheet'!K41</f>
        <v>45930</v>
      </c>
    </row>
    <row r="4" spans="1:11" s="130" customFormat="1" x14ac:dyDescent="0.3">
      <c r="A4" s="130" t="s">
        <v>14</v>
      </c>
      <c r="B4" s="139">
        <f>'[3]Data Sheet'!B42</f>
        <v>15496</v>
      </c>
      <c r="C4" s="139">
        <f>'[3]Data Sheet'!C42</f>
        <v>15623</v>
      </c>
      <c r="D4" s="139">
        <f>'[3]Data Sheet'!D42</f>
        <v>15567</v>
      </c>
      <c r="E4" s="139">
        <f>'[3]Data Sheet'!E42</f>
        <v>15210</v>
      </c>
      <c r="F4" s="139">
        <f>'[3]Data Sheet'!F42</f>
        <v>15707</v>
      </c>
      <c r="G4" s="139">
        <f>'[3]Data Sheet'!G42</f>
        <v>15926</v>
      </c>
      <c r="H4" s="139">
        <f>'[3]Data Sheet'!H42</f>
        <v>15818</v>
      </c>
      <c r="I4" s="139">
        <f>'[3]Data Sheet'!I42</f>
        <v>15670</v>
      </c>
      <c r="J4" s="139">
        <f>'[3]Data Sheet'!J42</f>
        <v>16514</v>
      </c>
      <c r="K4" s="139">
        <f>'[3]Data Sheet'!K42</f>
        <v>16241</v>
      </c>
    </row>
    <row r="5" spans="1:11" x14ac:dyDescent="0.3">
      <c r="A5" t="s">
        <v>114</v>
      </c>
      <c r="B5" s="140">
        <f>'[3]Data Sheet'!B43</f>
        <v>11832</v>
      </c>
      <c r="C5" s="140">
        <f>'[3]Data Sheet'!C43</f>
        <v>11828</v>
      </c>
      <c r="D5" s="140">
        <f>'[3]Data Sheet'!D43</f>
        <v>11902</v>
      </c>
      <c r="E5" s="140">
        <f>'[3]Data Sheet'!E43</f>
        <v>11675</v>
      </c>
      <c r="F5" s="140">
        <f>'[3]Data Sheet'!F43</f>
        <v>11965</v>
      </c>
      <c r="G5" s="140">
        <f>'[3]Data Sheet'!G43</f>
        <v>12139</v>
      </c>
      <c r="H5" s="140">
        <f>'[3]Data Sheet'!H43</f>
        <v>12123</v>
      </c>
      <c r="I5" s="140">
        <f>'[3]Data Sheet'!I43</f>
        <v>12052</v>
      </c>
      <c r="J5" s="140">
        <f>'[3]Data Sheet'!J43</f>
        <v>12797</v>
      </c>
      <c r="K5" s="140">
        <f>'[3]Data Sheet'!K43</f>
        <v>12515</v>
      </c>
    </row>
    <row r="6" spans="1:11" s="130" customFormat="1" x14ac:dyDescent="0.3">
      <c r="A6" s="130" t="s">
        <v>115</v>
      </c>
      <c r="B6" s="139">
        <f>'[3]Data Sheet'!B50</f>
        <v>3664</v>
      </c>
      <c r="C6" s="139">
        <f>'[3]Data Sheet'!C50</f>
        <v>3795</v>
      </c>
      <c r="D6" s="139">
        <f>'[3]Data Sheet'!D50</f>
        <v>3665</v>
      </c>
      <c r="E6" s="139">
        <f>'[3]Data Sheet'!E50</f>
        <v>3535</v>
      </c>
      <c r="F6" s="139">
        <f>'[3]Data Sheet'!F50</f>
        <v>3742</v>
      </c>
      <c r="G6" s="139">
        <f>'[3]Data Sheet'!G50</f>
        <v>3787</v>
      </c>
      <c r="H6" s="139">
        <f>'[3]Data Sheet'!H50</f>
        <v>3695</v>
      </c>
      <c r="I6" s="139">
        <f>'[3]Data Sheet'!I50</f>
        <v>3618</v>
      </c>
      <c r="J6" s="139">
        <f>'[3]Data Sheet'!J50</f>
        <v>3717</v>
      </c>
      <c r="K6" s="139">
        <f>'[3]Data Sheet'!K50</f>
        <v>3726</v>
      </c>
    </row>
    <row r="7" spans="1:11" x14ac:dyDescent="0.3">
      <c r="A7" t="s">
        <v>116</v>
      </c>
      <c r="B7" s="140">
        <f>'[3]Data Sheet'!B44</f>
        <v>146</v>
      </c>
      <c r="C7" s="140">
        <f>'[3]Data Sheet'!C44</f>
        <v>178</v>
      </c>
      <c r="D7" s="140">
        <f>'[3]Data Sheet'!D44</f>
        <v>184</v>
      </c>
      <c r="E7" s="140">
        <f>'[3]Data Sheet'!E44</f>
        <v>309</v>
      </c>
      <c r="F7" s="140">
        <f>'[3]Data Sheet'!F44</f>
        <v>209</v>
      </c>
      <c r="G7" s="140">
        <f>'[3]Data Sheet'!G44</f>
        <v>203</v>
      </c>
      <c r="H7" s="140">
        <f>'[3]Data Sheet'!H44</f>
        <v>740</v>
      </c>
      <c r="I7" s="140">
        <f>'[3]Data Sheet'!I44</f>
        <v>171</v>
      </c>
      <c r="J7" s="140">
        <f>'[3]Data Sheet'!J44</f>
        <v>74</v>
      </c>
      <c r="K7" s="140">
        <f>'[3]Data Sheet'!K44</f>
        <v>331</v>
      </c>
    </row>
    <row r="8" spans="1:11" x14ac:dyDescent="0.3">
      <c r="A8" t="s">
        <v>117</v>
      </c>
      <c r="B8" s="140">
        <f>'[3]Data Sheet'!B45</f>
        <v>286</v>
      </c>
      <c r="C8" s="140">
        <f>'[3]Data Sheet'!C45</f>
        <v>297</v>
      </c>
      <c r="D8" s="140">
        <f>'[3]Data Sheet'!D45</f>
        <v>313</v>
      </c>
      <c r="E8" s="140">
        <f>'[3]Data Sheet'!E45</f>
        <v>320</v>
      </c>
      <c r="F8" s="140">
        <f>'[3]Data Sheet'!F45</f>
        <v>329</v>
      </c>
      <c r="G8" s="140">
        <f>'[3]Data Sheet'!G45</f>
        <v>338</v>
      </c>
      <c r="H8" s="140">
        <f>'[3]Data Sheet'!H45</f>
        <v>341</v>
      </c>
      <c r="I8" s="140">
        <f>'[3]Data Sheet'!I45</f>
        <v>347</v>
      </c>
      <c r="J8" s="140">
        <f>'[3]Data Sheet'!J45</f>
        <v>361</v>
      </c>
      <c r="K8" s="140">
        <f>'[3]Data Sheet'!K45</f>
        <v>358</v>
      </c>
    </row>
    <row r="9" spans="1:11" x14ac:dyDescent="0.3">
      <c r="A9" t="s">
        <v>118</v>
      </c>
      <c r="B9" s="140">
        <f>'[3]Data Sheet'!B46</f>
        <v>50</v>
      </c>
      <c r="C9" s="140">
        <f>'[3]Data Sheet'!C46</f>
        <v>88</v>
      </c>
      <c r="D9" s="140">
        <f>'[3]Data Sheet'!D46</f>
        <v>91</v>
      </c>
      <c r="E9" s="140">
        <f>'[3]Data Sheet'!E46</f>
        <v>105</v>
      </c>
      <c r="F9" s="140">
        <f>'[3]Data Sheet'!F46</f>
        <v>93</v>
      </c>
      <c r="G9" s="140">
        <f>'[3]Data Sheet'!G46</f>
        <v>110</v>
      </c>
      <c r="H9" s="140">
        <f>'[3]Data Sheet'!H46</f>
        <v>112</v>
      </c>
      <c r="I9" s="140">
        <f>'[3]Data Sheet'!I46</f>
        <v>80</v>
      </c>
      <c r="J9" s="140">
        <f>'[3]Data Sheet'!J46</f>
        <v>127</v>
      </c>
      <c r="K9" s="140">
        <f>'[3]Data Sheet'!K46</f>
        <v>129</v>
      </c>
    </row>
    <row r="10" spans="1:11" x14ac:dyDescent="0.3">
      <c r="A10" t="s">
        <v>119</v>
      </c>
      <c r="B10" s="140">
        <f>'[3]Data Sheet'!B47</f>
        <v>3474</v>
      </c>
      <c r="C10" s="140">
        <f>'[3]Data Sheet'!C47</f>
        <v>3588</v>
      </c>
      <c r="D10" s="140">
        <f>'[3]Data Sheet'!D47</f>
        <v>3445</v>
      </c>
      <c r="E10" s="140">
        <f>'[3]Data Sheet'!E47</f>
        <v>3419</v>
      </c>
      <c r="F10" s="140">
        <f>'[3]Data Sheet'!F47</f>
        <v>3529</v>
      </c>
      <c r="G10" s="140">
        <f>'[3]Data Sheet'!G47</f>
        <v>3542</v>
      </c>
      <c r="H10" s="140">
        <f>'[3]Data Sheet'!H47</f>
        <v>3982</v>
      </c>
      <c r="I10" s="140">
        <f>'[3]Data Sheet'!I47</f>
        <v>3362</v>
      </c>
      <c r="J10" s="140">
        <f>'[3]Data Sheet'!J47</f>
        <v>3303</v>
      </c>
      <c r="K10" s="140">
        <f>'[3]Data Sheet'!K47</f>
        <v>3570</v>
      </c>
    </row>
    <row r="11" spans="1:11" x14ac:dyDescent="0.3">
      <c r="A11" t="s">
        <v>120</v>
      </c>
      <c r="B11" s="140">
        <f>'[3]Data Sheet'!B48</f>
        <v>918</v>
      </c>
      <c r="C11" s="140">
        <f>'[3]Data Sheet'!C48</f>
        <v>931</v>
      </c>
      <c r="D11" s="140">
        <f>'[3]Data Sheet'!D48</f>
        <v>937</v>
      </c>
      <c r="E11" s="140">
        <f>'[3]Data Sheet'!E48</f>
        <v>858</v>
      </c>
      <c r="F11" s="140">
        <f>'[3]Data Sheet'!F48</f>
        <v>917</v>
      </c>
      <c r="G11" s="140">
        <f>'[3]Data Sheet'!G48</f>
        <v>947</v>
      </c>
      <c r="H11" s="140">
        <f>'[3]Data Sheet'!H48</f>
        <v>993</v>
      </c>
      <c r="I11" s="140">
        <f>'[3]Data Sheet'!I48</f>
        <v>887</v>
      </c>
      <c r="J11" s="140">
        <f>'[3]Data Sheet'!J48</f>
        <v>535</v>
      </c>
      <c r="K11" s="140">
        <f>'[3]Data Sheet'!K48</f>
        <v>876</v>
      </c>
    </row>
    <row r="12" spans="1:11" s="130" customFormat="1" x14ac:dyDescent="0.3">
      <c r="A12" s="130" t="s">
        <v>121</v>
      </c>
      <c r="B12" s="139">
        <f>'[3]Data Sheet'!B49</f>
        <v>2554</v>
      </c>
      <c r="C12" s="139">
        <f>'[3]Data Sheet'!C49</f>
        <v>2656</v>
      </c>
      <c r="D12" s="139">
        <f>'[3]Data Sheet'!D49</f>
        <v>2509</v>
      </c>
      <c r="E12" s="139">
        <f>'[3]Data Sheet'!E49</f>
        <v>2558</v>
      </c>
      <c r="F12" s="139">
        <f>'[3]Data Sheet'!F49</f>
        <v>2610</v>
      </c>
      <c r="G12" s="139">
        <f>'[3]Data Sheet'!G49</f>
        <v>2591</v>
      </c>
      <c r="H12" s="139">
        <f>'[3]Data Sheet'!H49</f>
        <v>2984</v>
      </c>
      <c r="I12" s="139">
        <f>'[3]Data Sheet'!I49</f>
        <v>2464</v>
      </c>
      <c r="J12" s="139">
        <f>'[3]Data Sheet'!J49</f>
        <v>2756</v>
      </c>
      <c r="K12" s="139">
        <f>'[3]Data Sheet'!K49</f>
        <v>2685</v>
      </c>
    </row>
    <row r="14" spans="1:11" s="130" customFormat="1" x14ac:dyDescent="0.3">
      <c r="A14" s="130" t="s">
        <v>126</v>
      </c>
      <c r="B14" s="145">
        <f>IF(B4&gt;0,B6/B4,"")</f>
        <v>0.23644811564274651</v>
      </c>
      <c r="C14" s="145">
        <f t="shared" ref="C14:K14" si="0">IF(C4&gt;0,C6/C4,"")</f>
        <v>0.24291109261985533</v>
      </c>
      <c r="D14" s="145">
        <f t="shared" si="0"/>
        <v>0.23543393075094751</v>
      </c>
      <c r="E14" s="145">
        <f t="shared" si="0"/>
        <v>0.23241288625904011</v>
      </c>
      <c r="F14" s="145">
        <f t="shared" si="0"/>
        <v>0.23823772840134971</v>
      </c>
      <c r="G14" s="145">
        <f t="shared" si="0"/>
        <v>0.23778726610573905</v>
      </c>
      <c r="H14" s="145">
        <f t="shared" si="0"/>
        <v>0.23359463901883928</v>
      </c>
      <c r="I14" s="145">
        <f t="shared" si="0"/>
        <v>0.23088704530950863</v>
      </c>
      <c r="J14" s="145">
        <f t="shared" si="0"/>
        <v>0.22508174881918372</v>
      </c>
      <c r="K14" s="145">
        <f t="shared" si="0"/>
        <v>0.22941937072840343</v>
      </c>
    </row>
    <row r="22" s="21" customFormat="1" x14ac:dyDescent="0.3"/>
  </sheetData>
  <hyperlinks>
    <hyperlink ref="J1" r:id="rId1" xr:uid="{81006C94-8038-4BBD-BBCF-DDAD1C80ED43}"/>
  </hyperlink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E9A3B-32CA-4A93-AF74-7C5A20114539}">
  <dimension ref="A1:K24"/>
  <sheetViews>
    <sheetView topLeftCell="A7" workbookViewId="0">
      <selection activeCell="D17" sqref="D17"/>
    </sheetView>
  </sheetViews>
  <sheetFormatPr defaultColWidth="8.77734375" defaultRowHeight="14.4" x14ac:dyDescent="0.3"/>
  <cols>
    <col min="1" max="1" width="22.77734375" bestFit="1" customWidth="1"/>
    <col min="2" max="2" width="13.44140625" customWidth="1"/>
    <col min="3" max="11" width="15.44140625" customWidth="1"/>
  </cols>
  <sheetData>
    <row r="1" spans="1:11" s="130" customFormat="1" x14ac:dyDescent="0.3">
      <c r="A1" s="130" t="str">
        <f>'[3]Profit &amp; Loss'!A1</f>
        <v>HINDUSTAN UNILEVER LTD</v>
      </c>
      <c r="E1" t="str">
        <f>UPDATE</f>
        <v/>
      </c>
      <c r="G1"/>
      <c r="J1" s="130" t="s">
        <v>109</v>
      </c>
    </row>
    <row r="2" spans="1:11" x14ac:dyDescent="0.3">
      <c r="G2" s="130"/>
      <c r="H2" s="130"/>
    </row>
    <row r="3" spans="1:11" x14ac:dyDescent="0.3">
      <c r="A3" s="136" t="s">
        <v>110</v>
      </c>
      <c r="B3" s="137">
        <f>'[3]Data Sheet'!B56</f>
        <v>42460</v>
      </c>
      <c r="C3" s="137">
        <f>'[3]Data Sheet'!C56</f>
        <v>42825</v>
      </c>
      <c r="D3" s="137">
        <f>'[3]Data Sheet'!D56</f>
        <v>43190</v>
      </c>
      <c r="E3" s="137">
        <f>'[3]Data Sheet'!E56</f>
        <v>43555</v>
      </c>
      <c r="F3" s="137">
        <f>'[3]Data Sheet'!F56</f>
        <v>43921</v>
      </c>
      <c r="G3" s="137">
        <f>'[3]Data Sheet'!G56</f>
        <v>44286</v>
      </c>
      <c r="H3" s="137">
        <f>'[3]Data Sheet'!H56</f>
        <v>44651</v>
      </c>
      <c r="I3" s="137">
        <f>'[3]Data Sheet'!I56</f>
        <v>45016</v>
      </c>
      <c r="J3" s="137">
        <f>'[3]Data Sheet'!J56</f>
        <v>45382</v>
      </c>
      <c r="K3" s="137">
        <f>'[3]Data Sheet'!K56</f>
        <v>45747</v>
      </c>
    </row>
    <row r="4" spans="1:11" x14ac:dyDescent="0.3">
      <c r="A4" t="s">
        <v>137</v>
      </c>
      <c r="B4" s="146">
        <f>'[3]Data Sheet'!B57</f>
        <v>216</v>
      </c>
      <c r="C4" s="146">
        <f>'[3]Data Sheet'!C57</f>
        <v>216</v>
      </c>
      <c r="D4" s="146">
        <f>'[3]Data Sheet'!D57</f>
        <v>216</v>
      </c>
      <c r="E4" s="146">
        <f>'[3]Data Sheet'!E57</f>
        <v>216</v>
      </c>
      <c r="F4" s="146">
        <f>'[3]Data Sheet'!F57</f>
        <v>216</v>
      </c>
      <c r="G4" s="146">
        <f>'[3]Data Sheet'!G57</f>
        <v>235</v>
      </c>
      <c r="H4" s="146">
        <f>'[3]Data Sheet'!H57</f>
        <v>235</v>
      </c>
      <c r="I4" s="146">
        <f>'[3]Data Sheet'!I57</f>
        <v>235</v>
      </c>
      <c r="J4" s="146">
        <f>'[3]Data Sheet'!J57</f>
        <v>235</v>
      </c>
      <c r="K4" s="146">
        <f>'[3]Data Sheet'!K57</f>
        <v>235</v>
      </c>
    </row>
    <row r="5" spans="1:11" x14ac:dyDescent="0.3">
      <c r="A5" t="s">
        <v>138</v>
      </c>
      <c r="B5" s="146">
        <f>'[3]Data Sheet'!B58</f>
        <v>6357</v>
      </c>
      <c r="C5" s="146">
        <f>'[3]Data Sheet'!C58</f>
        <v>6528</v>
      </c>
      <c r="D5" s="146">
        <f>'[3]Data Sheet'!D58</f>
        <v>7065</v>
      </c>
      <c r="E5" s="146">
        <f>'[3]Data Sheet'!E58</f>
        <v>7651</v>
      </c>
      <c r="F5" s="146">
        <f>'[3]Data Sheet'!F58</f>
        <v>8013</v>
      </c>
      <c r="G5" s="146">
        <f>'[3]Data Sheet'!G58</f>
        <v>47439</v>
      </c>
      <c r="H5" s="146">
        <f>'[3]Data Sheet'!H58</f>
        <v>48826</v>
      </c>
      <c r="I5" s="146">
        <f>'[3]Data Sheet'!I58</f>
        <v>50069</v>
      </c>
      <c r="J5" s="146">
        <f>'[3]Data Sheet'!J58</f>
        <v>50983</v>
      </c>
      <c r="K5" s="146">
        <f>'[3]Data Sheet'!K58</f>
        <v>49167</v>
      </c>
    </row>
    <row r="6" spans="1:11" x14ac:dyDescent="0.3">
      <c r="A6" t="s">
        <v>139</v>
      </c>
      <c r="B6" s="146">
        <f>'[3]Data Sheet'!B59</f>
        <v>177</v>
      </c>
      <c r="C6" s="146">
        <f>'[3]Data Sheet'!C59</f>
        <v>277</v>
      </c>
      <c r="D6" s="146">
        <f>'[3]Data Sheet'!D59</f>
        <v>0</v>
      </c>
      <c r="E6" s="146">
        <f>'[3]Data Sheet'!E59</f>
        <v>99</v>
      </c>
      <c r="F6" s="146">
        <f>'[3]Data Sheet'!F59</f>
        <v>0</v>
      </c>
      <c r="G6" s="146">
        <f>'[3]Data Sheet'!G59</f>
        <v>0</v>
      </c>
      <c r="H6" s="146">
        <f>'[3]Data Sheet'!H59</f>
        <v>1043</v>
      </c>
      <c r="I6" s="146">
        <f>'[3]Data Sheet'!I59</f>
        <v>1219</v>
      </c>
      <c r="J6" s="146">
        <f>'[3]Data Sheet'!J59</f>
        <v>1484</v>
      </c>
      <c r="K6" s="146">
        <f>'[3]Data Sheet'!K59</f>
        <v>1648</v>
      </c>
    </row>
    <row r="7" spans="1:11" x14ac:dyDescent="0.3">
      <c r="A7" t="s">
        <v>140</v>
      </c>
      <c r="B7" s="146">
        <f>'[3]Data Sheet'!B60</f>
        <v>8043</v>
      </c>
      <c r="C7" s="146">
        <f>'[3]Data Sheet'!C60</f>
        <v>8685</v>
      </c>
      <c r="D7" s="146">
        <f>'[3]Data Sheet'!D60</f>
        <v>10581</v>
      </c>
      <c r="E7" s="146">
        <f>'[3]Data Sheet'!E60</f>
        <v>10663</v>
      </c>
      <c r="F7" s="146">
        <f>'[3]Data Sheet'!F60</f>
        <v>11924</v>
      </c>
      <c r="G7" s="146">
        <f>'[3]Data Sheet'!G60</f>
        <v>21066</v>
      </c>
      <c r="H7" s="146">
        <f>'[3]Data Sheet'!H60</f>
        <v>20402</v>
      </c>
      <c r="I7" s="146">
        <f>'[3]Data Sheet'!I60</f>
        <v>21554</v>
      </c>
      <c r="J7" s="146">
        <f>'[3]Data Sheet'!J60</f>
        <v>25787</v>
      </c>
      <c r="K7" s="146">
        <f>'[3]Data Sheet'!K60</f>
        <v>28813</v>
      </c>
    </row>
    <row r="8" spans="1:11" s="130" customFormat="1" x14ac:dyDescent="0.3">
      <c r="A8" s="130" t="s">
        <v>2</v>
      </c>
      <c r="B8" s="147">
        <f>'[3]Data Sheet'!B61</f>
        <v>14793</v>
      </c>
      <c r="C8" s="147">
        <f>'[3]Data Sheet'!C61</f>
        <v>15706</v>
      </c>
      <c r="D8" s="147">
        <f>'[3]Data Sheet'!D61</f>
        <v>17862</v>
      </c>
      <c r="E8" s="147">
        <f>'[3]Data Sheet'!E61</f>
        <v>18629</v>
      </c>
      <c r="F8" s="147">
        <f>'[3]Data Sheet'!F61</f>
        <v>20153</v>
      </c>
      <c r="G8" s="147">
        <f>'[3]Data Sheet'!G61</f>
        <v>68740</v>
      </c>
      <c r="H8" s="147">
        <f>'[3]Data Sheet'!H61</f>
        <v>70506</v>
      </c>
      <c r="I8" s="147">
        <f>'[3]Data Sheet'!I61</f>
        <v>73077</v>
      </c>
      <c r="J8" s="147">
        <f>'[3]Data Sheet'!J61</f>
        <v>78489</v>
      </c>
      <c r="K8" s="147">
        <f>'[3]Data Sheet'!K61</f>
        <v>79863</v>
      </c>
    </row>
    <row r="9" spans="1:11" s="130" customFormat="1" x14ac:dyDescent="0.3">
      <c r="B9" s="147"/>
      <c r="C9" s="147"/>
      <c r="D9" s="147"/>
      <c r="E9" s="147"/>
      <c r="F9" s="147"/>
      <c r="G9" s="147"/>
      <c r="H9" s="147"/>
      <c r="I9" s="147"/>
      <c r="J9" s="147"/>
      <c r="K9" s="147"/>
    </row>
    <row r="10" spans="1:11" x14ac:dyDescent="0.3">
      <c r="A10" t="s">
        <v>141</v>
      </c>
      <c r="B10" s="146">
        <f>'[3]Data Sheet'!B62</f>
        <v>3258</v>
      </c>
      <c r="C10" s="146">
        <f>'[3]Data Sheet'!C62</f>
        <v>4419</v>
      </c>
      <c r="D10" s="146">
        <f>'[3]Data Sheet'!D62</f>
        <v>4528</v>
      </c>
      <c r="E10" s="146">
        <f>'[3]Data Sheet'!E62</f>
        <v>4715</v>
      </c>
      <c r="F10" s="146">
        <f>'[3]Data Sheet'!F62</f>
        <v>5479</v>
      </c>
      <c r="G10" s="146">
        <f>'[3]Data Sheet'!G62</f>
        <v>51443</v>
      </c>
      <c r="H10" s="146">
        <f>'[3]Data Sheet'!H62</f>
        <v>51473</v>
      </c>
      <c r="I10" s="146">
        <f>'[3]Data Sheet'!I62</f>
        <v>52678</v>
      </c>
      <c r="J10" s="146">
        <f>'[3]Data Sheet'!J62</f>
        <v>53744</v>
      </c>
      <c r="K10" s="146">
        <f>'[3]Data Sheet'!K62</f>
        <v>54335</v>
      </c>
    </row>
    <row r="11" spans="1:11" x14ac:dyDescent="0.3">
      <c r="A11" t="s">
        <v>142</v>
      </c>
      <c r="B11" s="146">
        <f>'[3]Data Sheet'!B63</f>
        <v>408</v>
      </c>
      <c r="C11" s="146">
        <f>'[3]Data Sheet'!C63</f>
        <v>229</v>
      </c>
      <c r="D11" s="146">
        <f>'[3]Data Sheet'!D63</f>
        <v>461</v>
      </c>
      <c r="E11" s="146">
        <f>'[3]Data Sheet'!E63</f>
        <v>406</v>
      </c>
      <c r="F11" s="146">
        <f>'[3]Data Sheet'!F63</f>
        <v>597</v>
      </c>
      <c r="G11" s="146">
        <f>'[3]Data Sheet'!G63</f>
        <v>745</v>
      </c>
      <c r="H11" s="146">
        <f>'[3]Data Sheet'!H63</f>
        <v>1313</v>
      </c>
      <c r="I11" s="146">
        <f>'[3]Data Sheet'!I63</f>
        <v>1132</v>
      </c>
      <c r="J11" s="146">
        <f>'[3]Data Sheet'!J63</f>
        <v>1025</v>
      </c>
      <c r="K11" s="146">
        <f>'[3]Data Sheet'!K63</f>
        <v>1009</v>
      </c>
    </row>
    <row r="12" spans="1:11" x14ac:dyDescent="0.3">
      <c r="A12" t="s">
        <v>143</v>
      </c>
      <c r="B12" s="146">
        <f>'[3]Data Sheet'!B64</f>
        <v>2592</v>
      </c>
      <c r="C12" s="146">
        <f>'[3]Data Sheet'!C64</f>
        <v>3794</v>
      </c>
      <c r="D12" s="146">
        <f>'[3]Data Sheet'!D64</f>
        <v>2873</v>
      </c>
      <c r="E12" s="146">
        <f>'[3]Data Sheet'!E64</f>
        <v>2716</v>
      </c>
      <c r="F12" s="146">
        <f>'[3]Data Sheet'!F64</f>
        <v>1255</v>
      </c>
      <c r="G12" s="146">
        <f>'[3]Data Sheet'!G64</f>
        <v>2709</v>
      </c>
      <c r="H12" s="146">
        <f>'[3]Data Sheet'!H64</f>
        <v>3521</v>
      </c>
      <c r="I12" s="146">
        <f>'[3]Data Sheet'!I64</f>
        <v>2882</v>
      </c>
      <c r="J12" s="146">
        <f>'[3]Data Sheet'!J64</f>
        <v>4625</v>
      </c>
      <c r="K12" s="146">
        <f>'[3]Data Sheet'!K64</f>
        <v>3810</v>
      </c>
    </row>
    <row r="13" spans="1:11" x14ac:dyDescent="0.3">
      <c r="A13" t="s">
        <v>144</v>
      </c>
      <c r="B13" s="146">
        <f>'[3]Data Sheet'!B65</f>
        <v>8535</v>
      </c>
      <c r="C13" s="146">
        <f>'[3]Data Sheet'!C65</f>
        <v>7264</v>
      </c>
      <c r="D13" s="146">
        <f>'[3]Data Sheet'!D65</f>
        <v>10000</v>
      </c>
      <c r="E13" s="146">
        <f>'[3]Data Sheet'!E65</f>
        <v>10792</v>
      </c>
      <c r="F13" s="146">
        <f>'[3]Data Sheet'!F65</f>
        <v>12822</v>
      </c>
      <c r="G13" s="146">
        <f>'[3]Data Sheet'!G65</f>
        <v>13843</v>
      </c>
      <c r="H13" s="146">
        <f>'[3]Data Sheet'!H65</f>
        <v>14199</v>
      </c>
      <c r="I13" s="146">
        <f>'[3]Data Sheet'!I65</f>
        <v>16385</v>
      </c>
      <c r="J13" s="146">
        <f>'[3]Data Sheet'!J65</f>
        <v>19095</v>
      </c>
      <c r="K13" s="146">
        <f>'[3]Data Sheet'!K65</f>
        <v>20709</v>
      </c>
    </row>
    <row r="14" spans="1:11" s="130" customFormat="1" x14ac:dyDescent="0.3">
      <c r="A14" s="130" t="s">
        <v>2</v>
      </c>
      <c r="B14" s="146">
        <f>'[3]Data Sheet'!B66</f>
        <v>14793</v>
      </c>
      <c r="C14" s="146">
        <f>'[3]Data Sheet'!C66</f>
        <v>15706</v>
      </c>
      <c r="D14" s="146">
        <f>'[3]Data Sheet'!D66</f>
        <v>17862</v>
      </c>
      <c r="E14" s="146">
        <f>'[3]Data Sheet'!E66</f>
        <v>18629</v>
      </c>
      <c r="F14" s="146">
        <f>'[3]Data Sheet'!F66</f>
        <v>20153</v>
      </c>
      <c r="G14" s="146">
        <f>'[3]Data Sheet'!G66</f>
        <v>68740</v>
      </c>
      <c r="H14" s="146">
        <f>'[3]Data Sheet'!H66</f>
        <v>70506</v>
      </c>
      <c r="I14" s="146">
        <f>'[3]Data Sheet'!I66</f>
        <v>73077</v>
      </c>
      <c r="J14" s="146">
        <f>'[3]Data Sheet'!J66</f>
        <v>78489</v>
      </c>
      <c r="K14" s="146">
        <f>'[3]Data Sheet'!K66</f>
        <v>79863</v>
      </c>
    </row>
    <row r="15" spans="1:11" x14ac:dyDescent="0.3">
      <c r="B15" s="148"/>
      <c r="C15" s="148"/>
      <c r="D15" s="148"/>
      <c r="E15" s="148"/>
      <c r="F15" s="148"/>
      <c r="G15" s="148"/>
      <c r="H15" s="148"/>
      <c r="I15" s="148"/>
      <c r="J15" s="148"/>
      <c r="K15" s="148"/>
    </row>
    <row r="16" spans="1:11" x14ac:dyDescent="0.3">
      <c r="A16" t="s">
        <v>145</v>
      </c>
      <c r="B16" s="148">
        <f>B13-B7</f>
        <v>492</v>
      </c>
      <c r="C16" s="148">
        <f t="shared" ref="C16:K16" si="0">C13-C7</f>
        <v>-1421</v>
      </c>
      <c r="D16" s="148">
        <f t="shared" si="0"/>
        <v>-581</v>
      </c>
      <c r="E16" s="148">
        <f t="shared" si="0"/>
        <v>129</v>
      </c>
      <c r="F16" s="148">
        <f t="shared" si="0"/>
        <v>898</v>
      </c>
      <c r="G16" s="148">
        <f t="shared" si="0"/>
        <v>-7223</v>
      </c>
      <c r="H16" s="148">
        <f t="shared" si="0"/>
        <v>-6203</v>
      </c>
      <c r="I16" s="148">
        <f t="shared" si="0"/>
        <v>-5169</v>
      </c>
      <c r="J16" s="148">
        <f t="shared" si="0"/>
        <v>-6692</v>
      </c>
      <c r="K16" s="148">
        <f t="shared" si="0"/>
        <v>-8104</v>
      </c>
    </row>
    <row r="17" spans="1:11" x14ac:dyDescent="0.3">
      <c r="A17" t="s">
        <v>146</v>
      </c>
      <c r="B17" s="148">
        <f>'[3]Data Sheet'!B67</f>
        <v>1264</v>
      </c>
      <c r="C17" s="148">
        <f>'[3]Data Sheet'!C67</f>
        <v>1085</v>
      </c>
      <c r="D17" s="148">
        <f>'[3]Data Sheet'!D67</f>
        <v>1310</v>
      </c>
      <c r="E17" s="148">
        <f>'[3]Data Sheet'!E67</f>
        <v>1816</v>
      </c>
      <c r="F17" s="148">
        <f>'[3]Data Sheet'!F67</f>
        <v>1149</v>
      </c>
      <c r="G17" s="148">
        <f>'[3]Data Sheet'!G67</f>
        <v>1758</v>
      </c>
      <c r="H17" s="148">
        <f>'[3]Data Sheet'!H67</f>
        <v>2236</v>
      </c>
      <c r="I17" s="148">
        <f>'[3]Data Sheet'!I67</f>
        <v>3079</v>
      </c>
      <c r="J17" s="148">
        <f>'[3]Data Sheet'!J67</f>
        <v>2997</v>
      </c>
      <c r="K17" s="148">
        <f>'[3]Data Sheet'!K67</f>
        <v>3819</v>
      </c>
    </row>
    <row r="18" spans="1:11" x14ac:dyDescent="0.3">
      <c r="A18" t="s">
        <v>147</v>
      </c>
      <c r="B18" s="148">
        <f>'[3]Data Sheet'!B68</f>
        <v>2726</v>
      </c>
      <c r="C18" s="148">
        <f>'[3]Data Sheet'!C68</f>
        <v>2541</v>
      </c>
      <c r="D18" s="148">
        <f>'[3]Data Sheet'!D68</f>
        <v>2513</v>
      </c>
      <c r="E18" s="148">
        <f>'[3]Data Sheet'!E68</f>
        <v>2574</v>
      </c>
      <c r="F18" s="148">
        <f>'[3]Data Sheet'!F68</f>
        <v>2767</v>
      </c>
      <c r="G18" s="148">
        <f>'[3]Data Sheet'!G68</f>
        <v>3579</v>
      </c>
      <c r="H18" s="148">
        <f>'[3]Data Sheet'!H68</f>
        <v>4096</v>
      </c>
      <c r="I18" s="148">
        <f>'[3]Data Sheet'!I68</f>
        <v>4251</v>
      </c>
      <c r="J18" s="148">
        <f>'[3]Data Sheet'!J68</f>
        <v>4022</v>
      </c>
      <c r="K18" s="148">
        <f>'[3]Data Sheet'!K68</f>
        <v>4415</v>
      </c>
    </row>
    <row r="20" spans="1:11" x14ac:dyDescent="0.3">
      <c r="A20" t="s">
        <v>148</v>
      </c>
      <c r="B20" s="148">
        <f>IF('[3]Profit &amp; Loss'!B4&gt;0,'[3]Balance Sheet'!B17/('[3]Profit &amp; Loss'!B4/365),0)</f>
        <v>14.334182563847635</v>
      </c>
      <c r="C20" s="148">
        <f>IF('[3]Profit &amp; Loss'!C4&gt;0,'[3]Balance Sheet'!C17/('[3]Profit &amp; Loss'!C4/365),0)</f>
        <v>11.942132561365419</v>
      </c>
      <c r="D20" s="148">
        <f>IF('[3]Profit &amp; Loss'!D4&gt;0,'[3]Balance Sheet'!D17/('[3]Profit &amp; Loss'!D4/365),0)</f>
        <v>13.4519623013082</v>
      </c>
      <c r="E20" s="148">
        <f>IF('[3]Profit &amp; Loss'!E4&gt;0,'[3]Balance Sheet'!E17/('[3]Profit &amp; Loss'!E4/365),0)</f>
        <v>16.861867209361485</v>
      </c>
      <c r="F20" s="148">
        <f>IF('[3]Profit &amp; Loss'!F4&gt;0,'[3]Balance Sheet'!F17/('[3]Profit &amp; Loss'!F4/365),0)</f>
        <v>10.541814342809744</v>
      </c>
      <c r="G20" s="148">
        <f>IF('[3]Profit &amp; Loss'!G4&gt;0,'[3]Balance Sheet'!G17/('[3]Profit &amp; Loss'!G4/365),0)</f>
        <v>13.644424598111764</v>
      </c>
      <c r="H20" s="148">
        <f>IF('[3]Profit &amp; Loss'!H4&gt;0,'[3]Balance Sheet'!H17/('[3]Profit &amp; Loss'!H4/365),0)</f>
        <v>15.56152995461999</v>
      </c>
      <c r="I20" s="148">
        <f>IF('[3]Profit &amp; Loss'!I4&gt;0,'[3]Balance Sheet'!I17/('[3]Profit &amp; Loss'!I4/365),0)</f>
        <v>18.551254539451964</v>
      </c>
      <c r="J20" s="148">
        <f>IF('[3]Profit &amp; Loss'!J4&gt;0,'[3]Balance Sheet'!J17/('[3]Profit &amp; Loss'!J4/365),0)</f>
        <v>17.673274525009692</v>
      </c>
      <c r="K20" s="148">
        <f>IF('[3]Profit &amp; Loss'!K4&gt;0,'[3]Balance Sheet'!K17/('[3]Profit &amp; Loss'!K4/365),0)</f>
        <v>22.08353796676225</v>
      </c>
    </row>
    <row r="21" spans="1:11" x14ac:dyDescent="0.3">
      <c r="A21" t="s">
        <v>149</v>
      </c>
      <c r="B21" s="148">
        <f>IF('[3]Balance Sheet'!B18&gt;0,'[3]Profit &amp; Loss'!B4/'[3]Balance Sheet'!B18,0)</f>
        <v>11.807043286867204</v>
      </c>
      <c r="C21" s="148">
        <f>IF('[3]Balance Sheet'!C18&gt;0,'[3]Profit &amp; Loss'!C4/'[3]Balance Sheet'!C18,0)</f>
        <v>13.050767414403778</v>
      </c>
      <c r="D21" s="148">
        <f>IF('[3]Balance Sheet'!D18&gt;0,'[3]Profit &amp; Loss'!D4/'[3]Balance Sheet'!D18,0)</f>
        <v>14.144448865897333</v>
      </c>
      <c r="E21" s="148">
        <f>IF('[3]Balance Sheet'!E18&gt;0,'[3]Profit &amp; Loss'!E4/'[3]Balance Sheet'!E18,0)</f>
        <v>15.271950271950272</v>
      </c>
      <c r="F21" s="148">
        <f>IF('[3]Balance Sheet'!F18&gt;0,'[3]Profit &amp; Loss'!F4/'[3]Balance Sheet'!F18,0)</f>
        <v>14.377665341525118</v>
      </c>
      <c r="G21" s="148">
        <f>IF('[3]Balance Sheet'!G18&gt;0,'[3]Profit &amp; Loss'!G4/'[3]Balance Sheet'!G18,0)</f>
        <v>13.139983235540655</v>
      </c>
      <c r="H21" s="148">
        <f>IF('[3]Balance Sheet'!H18&gt;0,'[3]Profit &amp; Loss'!H4/'[3]Balance Sheet'!H18,0)</f>
        <v>12.80419921875</v>
      </c>
      <c r="I21" s="148">
        <f>IF('[3]Balance Sheet'!I18&gt;0,'[3]Profit &amp; Loss'!I4/'[3]Balance Sheet'!I18,0)</f>
        <v>14.250764525993883</v>
      </c>
      <c r="J21" s="148">
        <f>IF('[3]Balance Sheet'!J18&gt;0,'[3]Profit &amp; Loss'!J4/'[3]Balance Sheet'!J18,0)</f>
        <v>15.389358528095475</v>
      </c>
      <c r="K21" s="148">
        <f>IF('[3]Balance Sheet'!K18&gt;0,'[3]Profit &amp; Loss'!K4/'[3]Balance Sheet'!K18,0)</f>
        <v>14.296942242355605</v>
      </c>
    </row>
    <row r="23" spans="1:11" s="130" customFormat="1" x14ac:dyDescent="0.3">
      <c r="A23" s="130" t="s">
        <v>150</v>
      </c>
      <c r="B23" s="145">
        <f>IF(SUM('[3]Balance Sheet'!B4:B5)&gt;0,'[3]Profit &amp; Loss'!B12/SUM('[3]Balance Sheet'!B4:B5),"")</f>
        <v>0.6315228966986155</v>
      </c>
      <c r="C23" s="145">
        <f>IF(SUM('[3]Balance Sheet'!C4:C5)&gt;0,'[3]Profit &amp; Loss'!C12/SUM('[3]Balance Sheet'!C4:C5),"")</f>
        <v>0.66370106761565839</v>
      </c>
      <c r="D23" s="145">
        <f>IF(SUM('[3]Balance Sheet'!D4:D5)&gt;0,'[3]Profit &amp; Loss'!D12/SUM('[3]Balance Sheet'!D4:D5),"")</f>
        <v>0.71611042439225381</v>
      </c>
      <c r="E23" s="145">
        <f>IF(SUM('[3]Balance Sheet'!E4:E5)&gt;0,'[3]Profit &amp; Loss'!E12/SUM('[3]Balance Sheet'!E4:E5),"")</f>
        <v>0.76954366340409308</v>
      </c>
      <c r="F23" s="145">
        <f>IF(SUM('[3]Balance Sheet'!F4:F5)&gt;0,'[3]Profit &amp; Loss'!F12/SUM('[3]Balance Sheet'!F4:F5),"")</f>
        <v>0.82002673471867782</v>
      </c>
      <c r="G23" s="145">
        <f>IF(SUM('[3]Balance Sheet'!G4:G5)&gt;0,'[3]Profit &amp; Loss'!G12/SUM('[3]Balance Sheet'!G4:G5),"")</f>
        <v>0.16770147250073414</v>
      </c>
      <c r="H23" s="145">
        <f>IF(SUM('[3]Balance Sheet'!H4:H5)&gt;0,'[3]Profit &amp; Loss'!H12/SUM('[3]Balance Sheet'!H4:H5),"")</f>
        <v>0.18097878151688715</v>
      </c>
      <c r="I23" s="145">
        <f>IF(SUM('[3]Balance Sheet'!I4:I5)&gt;0,'[3]Profit &amp; Loss'!I12/SUM('[3]Balance Sheet'!I4:I5),"")</f>
        <v>0.201176844783715</v>
      </c>
      <c r="J23" s="145">
        <f>IF(SUM('[3]Balance Sheet'!J4:J5)&gt;0,'[3]Profit &amp; Loss'!J12/SUM('[3]Balance Sheet'!J4:J5),"")</f>
        <v>0.20065211449099926</v>
      </c>
      <c r="K23" s="145">
        <f>IF(SUM('[3]Balance Sheet'!K4:K5)&gt;0,'[3]Profit &amp; Loss'!K12/SUM('[3]Balance Sheet'!K4:K5),"")</f>
        <v>0.21555807457187967</v>
      </c>
    </row>
    <row r="24" spans="1:11" s="130" customFormat="1" x14ac:dyDescent="0.3">
      <c r="A24" s="130" t="s">
        <v>151</v>
      </c>
      <c r="B24" s="145"/>
      <c r="C24" s="145">
        <f>IF((B4+B5+B6+C4+C5+C6)&gt;0,('[3]Profit &amp; Loss'!C10+'[3]Profit &amp; Loss'!C9)*2/(B4+B5+B6+C4+C5+C6),"")</f>
        <v>0.9443032459516375</v>
      </c>
      <c r="D24" s="145">
        <f>IF((C4+C5+C6+D4+D5+D6)&gt;0,('[3]Profit &amp; Loss'!D10+'[3]Profit &amp; Loss'!D9)*2/(C4+C5+C6+D4+D5+D6),"")</f>
        <v>1.0253111452943644</v>
      </c>
      <c r="E24" s="145">
        <f>IF((D4+D5+D6+E4+E5+E6)&gt;0,('[3]Profit &amp; Loss'!E10+'[3]Profit &amp; Loss'!E9)*2/(D4+D5+D6+E4+E5+E6),"")</f>
        <v>1.1329441857414573</v>
      </c>
      <c r="F24" s="145">
        <f>IF((E4+E5+E6+F4+F5+F6)&gt;0,('[3]Profit &amp; Loss'!F10+'[3]Profit &amp; Loss'!F9)*2/(E4+E5+E6+F4+F5+F6),"")</f>
        <v>1.1464032108675517</v>
      </c>
      <c r="G24" s="145">
        <f>IF((F4+F5+F6+G4+G5+G6)&gt;0,('[3]Profit &amp; Loss'!G10+'[3]Profit &amp; Loss'!G9)*2/(F4+F5+F6+G4+G5+G6),"")</f>
        <v>0.38359300931971452</v>
      </c>
      <c r="H24" s="145">
        <f>IF((G4+G5+G6+H4+H5+H6)&gt;0,('[3]Profit &amp; Loss'!H10+'[3]Profit &amp; Loss'!H9)*2/(G4+G5+G6+H4+H5+H6),"")</f>
        <v>0.2451471701200679</v>
      </c>
      <c r="I24" s="145">
        <f>IF((H4+H5+H6+I4+I5+I6)&gt;0,('[3]Profit &amp; Loss'!I10+'[3]Profit &amp; Loss'!I9)*2/(H4+H5+H6+I4+I5+I6),"")</f>
        <v>0.26485087624351794</v>
      </c>
      <c r="J24" s="145">
        <f>IF((I4+I5+I6+J4+J5+J6)&gt;0,('[3]Profit &amp; Loss'!J10+'[3]Profit &amp; Loss'!J9)*2/(I4+I5+I6+J4+J5+J6),"")</f>
        <v>0.27363876229311584</v>
      </c>
      <c r="K24" s="145">
        <f>IF((J4+J5+J6+K4+K5+K6)&gt;0,('[3]Profit &amp; Loss'!K10+'[3]Profit &amp; Loss'!K9)*2/(J4+J5+J6+K4+K5+K6),"")</f>
        <v>0.28548847251137327</v>
      </c>
    </row>
  </sheetData>
  <hyperlinks>
    <hyperlink ref="J1" r:id="rId1" xr:uid="{6AF69C88-27DC-44CF-B0B4-E8041A99774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2BA42-E492-4815-B90F-D0911EB24003}">
  <dimension ref="A1:M42"/>
  <sheetViews>
    <sheetView topLeftCell="A4" workbookViewId="0">
      <selection activeCell="A14" sqref="A14:M18"/>
    </sheetView>
  </sheetViews>
  <sheetFormatPr defaultColWidth="8.77734375" defaultRowHeight="14.4" x14ac:dyDescent="0.3"/>
  <cols>
    <col min="1" max="1" width="26.77734375" bestFit="1" customWidth="1"/>
    <col min="2" max="6" width="13.44140625" customWidth="1"/>
    <col min="7" max="11" width="13.44140625" bestFit="1" customWidth="1"/>
  </cols>
  <sheetData>
    <row r="1" spans="1:13" s="130" customFormat="1" x14ac:dyDescent="0.3">
      <c r="A1" s="130" t="str">
        <f>'[3]Balance Sheet'!A1</f>
        <v>HINDUSTAN UNILEVER LTD</v>
      </c>
      <c r="E1" t="str">
        <f>UPDATE</f>
        <v/>
      </c>
      <c r="F1"/>
      <c r="J1" s="130" t="s">
        <v>109</v>
      </c>
    </row>
    <row r="3" spans="1:13" s="130" customFormat="1" x14ac:dyDescent="0.3">
      <c r="A3" s="136" t="s">
        <v>110</v>
      </c>
      <c r="B3" s="137">
        <f>'[3]Data Sheet'!B81</f>
        <v>42460</v>
      </c>
      <c r="C3" s="137">
        <f>'[3]Data Sheet'!C81</f>
        <v>42825</v>
      </c>
      <c r="D3" s="137">
        <f>'[3]Data Sheet'!D81</f>
        <v>43190</v>
      </c>
      <c r="E3" s="137">
        <f>'[3]Data Sheet'!E81</f>
        <v>43555</v>
      </c>
      <c r="F3" s="137">
        <f>'[3]Data Sheet'!F81</f>
        <v>43921</v>
      </c>
      <c r="G3" s="137">
        <f>'[3]Data Sheet'!G81</f>
        <v>44286</v>
      </c>
      <c r="H3" s="137">
        <f>'[3]Data Sheet'!H81</f>
        <v>44651</v>
      </c>
      <c r="I3" s="137">
        <f>'[3]Data Sheet'!I81</f>
        <v>45016</v>
      </c>
      <c r="J3" s="137">
        <f>'[3]Data Sheet'!J81</f>
        <v>45382</v>
      </c>
      <c r="K3" s="137">
        <f>'[3]Data Sheet'!K81</f>
        <v>45747</v>
      </c>
    </row>
    <row r="4" spans="1:13" s="130" customFormat="1" x14ac:dyDescent="0.3">
      <c r="A4" s="130" t="s">
        <v>152</v>
      </c>
      <c r="B4" s="139">
        <f>'[3]Data Sheet'!B82</f>
        <v>4171</v>
      </c>
      <c r="C4" s="139">
        <f>'[3]Data Sheet'!C82</f>
        <v>5185</v>
      </c>
      <c r="D4" s="139">
        <f>'[3]Data Sheet'!D82</f>
        <v>6059</v>
      </c>
      <c r="E4" s="139">
        <f>'[3]Data Sheet'!E82</f>
        <v>5800</v>
      </c>
      <c r="F4" s="139">
        <f>'[3]Data Sheet'!F82</f>
        <v>7623</v>
      </c>
      <c r="G4" s="139">
        <f>'[3]Data Sheet'!G82</f>
        <v>9163</v>
      </c>
      <c r="H4" s="139">
        <f>'[3]Data Sheet'!H82</f>
        <v>9048</v>
      </c>
      <c r="I4" s="139">
        <f>'[3]Data Sheet'!I82</f>
        <v>9991</v>
      </c>
      <c r="J4" s="139">
        <f>'[3]Data Sheet'!J82</f>
        <v>15469</v>
      </c>
      <c r="K4" s="139">
        <f>'[3]Data Sheet'!K82</f>
        <v>11886</v>
      </c>
    </row>
    <row r="5" spans="1:13" x14ac:dyDescent="0.3">
      <c r="A5" t="s">
        <v>153</v>
      </c>
      <c r="B5" s="140">
        <f>'[3]Data Sheet'!B83</f>
        <v>-282</v>
      </c>
      <c r="C5" s="140">
        <f>'[3]Data Sheet'!C83</f>
        <v>-1173</v>
      </c>
      <c r="D5" s="140">
        <f>'[3]Data Sheet'!D83</f>
        <v>-1063</v>
      </c>
      <c r="E5" s="140">
        <f>'[3]Data Sheet'!E83</f>
        <v>-438</v>
      </c>
      <c r="F5" s="140">
        <f>'[3]Data Sheet'!F83</f>
        <v>1791</v>
      </c>
      <c r="G5" s="140">
        <f>'[3]Data Sheet'!G83</f>
        <v>-1228</v>
      </c>
      <c r="H5" s="140">
        <f>'[3]Data Sheet'!H83</f>
        <v>-1728</v>
      </c>
      <c r="I5" s="140">
        <f>'[3]Data Sheet'!I83</f>
        <v>-1484</v>
      </c>
      <c r="J5" s="140">
        <f>'[3]Data Sheet'!J83</f>
        <v>-5324</v>
      </c>
      <c r="K5" s="140">
        <f>'[3]Data Sheet'!K83</f>
        <v>6473</v>
      </c>
    </row>
    <row r="6" spans="1:13" x14ac:dyDescent="0.3">
      <c r="A6" t="s">
        <v>154</v>
      </c>
      <c r="B6" s="140">
        <f>'[3]Data Sheet'!B84</f>
        <v>-3864</v>
      </c>
      <c r="C6" s="140">
        <f>'[3]Data Sheet'!C84</f>
        <v>-4214</v>
      </c>
      <c r="D6" s="140">
        <f>'[3]Data Sheet'!D84</f>
        <v>-4975</v>
      </c>
      <c r="E6" s="140">
        <f>'[3]Data Sheet'!E84</f>
        <v>-5390</v>
      </c>
      <c r="F6" s="140">
        <f>'[3]Data Sheet'!F84</f>
        <v>-6819</v>
      </c>
      <c r="G6" s="140">
        <f>'[3]Data Sheet'!G84</f>
        <v>-9309</v>
      </c>
      <c r="H6" s="140">
        <f>'[3]Data Sheet'!H84</f>
        <v>-8015</v>
      </c>
      <c r="I6" s="140">
        <f>'[3]Data Sheet'!I84</f>
        <v>-8953</v>
      </c>
      <c r="J6" s="140">
        <f>'[3]Data Sheet'!J84</f>
        <v>-10034</v>
      </c>
      <c r="K6" s="140">
        <f>'[3]Data Sheet'!K84</f>
        <v>-13101</v>
      </c>
    </row>
    <row r="7" spans="1:13" s="130" customFormat="1" x14ac:dyDescent="0.3">
      <c r="A7" s="130" t="s">
        <v>155</v>
      </c>
      <c r="B7" s="139">
        <f>'[3]Data Sheet'!B85</f>
        <v>25</v>
      </c>
      <c r="C7" s="139">
        <f>'[3]Data Sheet'!C85</f>
        <v>-202</v>
      </c>
      <c r="D7" s="139">
        <f>'[3]Data Sheet'!D85</f>
        <v>21</v>
      </c>
      <c r="E7" s="139">
        <f>'[3]Data Sheet'!E85</f>
        <v>-28</v>
      </c>
      <c r="F7" s="139">
        <f>'[3]Data Sheet'!F85</f>
        <v>2595</v>
      </c>
      <c r="G7" s="139">
        <f>'[3]Data Sheet'!G85</f>
        <v>-1374</v>
      </c>
      <c r="H7" s="139">
        <f>'[3]Data Sheet'!H85</f>
        <v>-695</v>
      </c>
      <c r="I7" s="139">
        <f>'[3]Data Sheet'!I85</f>
        <v>-446</v>
      </c>
      <c r="J7" s="139">
        <f>'[3]Data Sheet'!J85</f>
        <v>111</v>
      </c>
      <c r="K7" s="139">
        <f>'[3]Data Sheet'!K85</f>
        <v>5258</v>
      </c>
    </row>
    <row r="8" spans="1:13" x14ac:dyDescent="0.3">
      <c r="B8" s="140"/>
      <c r="C8" s="140"/>
      <c r="D8" s="140"/>
      <c r="E8" s="140"/>
      <c r="F8" s="140"/>
      <c r="G8" s="140"/>
      <c r="H8" s="140"/>
      <c r="I8" s="140"/>
      <c r="J8" s="140"/>
      <c r="K8" s="140"/>
    </row>
    <row r="9" spans="1:13" ht="15" thickBot="1" x14ac:dyDescent="0.35">
      <c r="A9" s="160">
        <v>41699</v>
      </c>
      <c r="B9" s="160">
        <v>42064</v>
      </c>
      <c r="C9" s="160">
        <v>42430</v>
      </c>
      <c r="D9" s="160">
        <v>42795</v>
      </c>
      <c r="E9" s="160">
        <v>43160</v>
      </c>
      <c r="F9" s="160">
        <v>43525</v>
      </c>
      <c r="G9" s="160">
        <v>43891</v>
      </c>
      <c r="H9" s="160">
        <v>44256</v>
      </c>
      <c r="I9" s="160">
        <v>44621</v>
      </c>
      <c r="J9" s="160">
        <v>44986</v>
      </c>
      <c r="K9" s="160">
        <v>45352</v>
      </c>
      <c r="L9" s="160">
        <v>45717</v>
      </c>
      <c r="M9" s="159"/>
    </row>
    <row r="10" spans="1:13" ht="15" thickBot="1" x14ac:dyDescent="0.35">
      <c r="A10" s="161" t="s">
        <v>187</v>
      </c>
      <c r="B10" s="162">
        <v>3818</v>
      </c>
      <c r="C10" s="162">
        <v>3292</v>
      </c>
      <c r="D10" s="162">
        <v>4171</v>
      </c>
      <c r="E10" s="162">
        <v>5185</v>
      </c>
      <c r="F10" s="162">
        <v>6059</v>
      </c>
      <c r="G10" s="162">
        <v>5800</v>
      </c>
      <c r="H10" s="162">
        <v>7623</v>
      </c>
      <c r="I10" s="162">
        <v>9163</v>
      </c>
      <c r="J10" s="162">
        <v>9048</v>
      </c>
      <c r="K10" s="162">
        <v>9991</v>
      </c>
      <c r="L10" s="162">
        <v>15469</v>
      </c>
      <c r="M10" s="162">
        <v>11886</v>
      </c>
    </row>
    <row r="11" spans="1:13" x14ac:dyDescent="0.3">
      <c r="A11" s="163" t="s">
        <v>188</v>
      </c>
      <c r="B11" s="162">
        <v>4802</v>
      </c>
      <c r="C11" s="162">
        <v>5510</v>
      </c>
      <c r="D11" s="162">
        <v>6025</v>
      </c>
      <c r="E11" s="162">
        <v>6512</v>
      </c>
      <c r="F11" s="162">
        <v>7485</v>
      </c>
      <c r="G11" s="162">
        <v>8909</v>
      </c>
      <c r="H11" s="162">
        <v>9723</v>
      </c>
      <c r="I11" s="162">
        <v>11672</v>
      </c>
      <c r="J11" s="162">
        <v>12829</v>
      </c>
      <c r="K11" s="162">
        <v>14089</v>
      </c>
      <c r="L11" s="162">
        <v>14537</v>
      </c>
      <c r="M11" s="162">
        <v>14942</v>
      </c>
    </row>
    <row r="12" spans="1:13" x14ac:dyDescent="0.3">
      <c r="A12" s="164" t="s">
        <v>178</v>
      </c>
      <c r="B12" s="165">
        <v>-17</v>
      </c>
      <c r="C12" s="165">
        <v>3</v>
      </c>
      <c r="D12" s="165">
        <v>-257</v>
      </c>
      <c r="E12" s="165">
        <v>173</v>
      </c>
      <c r="F12" s="165">
        <v>0</v>
      </c>
      <c r="G12" s="165">
        <v>0</v>
      </c>
      <c r="H12" s="165">
        <v>0</v>
      </c>
      <c r="I12" s="165">
        <v>0</v>
      </c>
      <c r="J12" s="165">
        <v>0</v>
      </c>
      <c r="K12" s="165">
        <v>0</v>
      </c>
      <c r="L12" s="165">
        <v>0</v>
      </c>
      <c r="M12" s="165">
        <v>0</v>
      </c>
    </row>
    <row r="13" spans="1:13" x14ac:dyDescent="0.3">
      <c r="A13" s="164" t="s">
        <v>147</v>
      </c>
      <c r="B13" s="165">
        <v>-201</v>
      </c>
      <c r="C13" s="165">
        <v>91</v>
      </c>
      <c r="D13" s="165">
        <v>89</v>
      </c>
      <c r="E13" s="165">
        <v>37</v>
      </c>
      <c r="F13" s="165">
        <v>-146</v>
      </c>
      <c r="G13" s="165">
        <v>-195</v>
      </c>
      <c r="H13" s="165">
        <v>-331</v>
      </c>
      <c r="I13" s="165">
        <v>-543</v>
      </c>
      <c r="J13" s="165">
        <v>-758</v>
      </c>
      <c r="K13" s="165">
        <v>-339</v>
      </c>
      <c r="L13" s="165">
        <v>74</v>
      </c>
      <c r="M13" s="165">
        <v>-584</v>
      </c>
    </row>
    <row r="14" spans="1:13" x14ac:dyDescent="0.3">
      <c r="A14" s="164" t="s">
        <v>189</v>
      </c>
      <c r="B14" s="165">
        <v>546</v>
      </c>
      <c r="C14" s="165">
        <v>-327</v>
      </c>
      <c r="D14" s="165">
        <v>164</v>
      </c>
      <c r="E14" s="165">
        <v>501</v>
      </c>
      <c r="F14" s="165">
        <v>0</v>
      </c>
      <c r="G14" s="165">
        <v>0</v>
      </c>
      <c r="H14" s="165">
        <v>0</v>
      </c>
      <c r="I14" s="165">
        <v>0</v>
      </c>
      <c r="J14" s="165">
        <v>0</v>
      </c>
      <c r="K14" s="165">
        <v>0</v>
      </c>
      <c r="L14" s="165">
        <v>0</v>
      </c>
      <c r="M14" s="165">
        <v>0</v>
      </c>
    </row>
    <row r="15" spans="1:13" x14ac:dyDescent="0.3">
      <c r="A15" s="164" t="s">
        <v>190</v>
      </c>
      <c r="B15" s="165">
        <v>-4</v>
      </c>
      <c r="C15" s="165">
        <v>-148</v>
      </c>
      <c r="D15" s="165">
        <v>0</v>
      </c>
      <c r="E15" s="165">
        <v>0</v>
      </c>
      <c r="F15" s="165">
        <v>0</v>
      </c>
      <c r="G15" s="165">
        <v>0</v>
      </c>
      <c r="H15" s="165">
        <v>0</v>
      </c>
      <c r="I15" s="165">
        <v>0</v>
      </c>
      <c r="J15" s="165">
        <v>0</v>
      </c>
      <c r="K15" s="165">
        <v>0</v>
      </c>
      <c r="L15" s="165">
        <v>0</v>
      </c>
      <c r="M15" s="165">
        <v>0</v>
      </c>
    </row>
    <row r="16" spans="1:13" x14ac:dyDescent="0.3">
      <c r="A16" s="164" t="s">
        <v>191</v>
      </c>
      <c r="B16" s="165">
        <v>0</v>
      </c>
      <c r="C16" s="165">
        <v>0</v>
      </c>
      <c r="D16" s="165">
        <v>0</v>
      </c>
      <c r="E16" s="165">
        <v>-46</v>
      </c>
      <c r="F16" s="165">
        <v>0</v>
      </c>
      <c r="G16" s="165">
        <v>0</v>
      </c>
      <c r="H16" s="165">
        <v>0</v>
      </c>
      <c r="I16" s="165">
        <v>0</v>
      </c>
      <c r="J16" s="165">
        <v>0</v>
      </c>
      <c r="K16" s="165">
        <v>0</v>
      </c>
      <c r="L16" s="165">
        <v>0</v>
      </c>
      <c r="M16" s="165">
        <v>0</v>
      </c>
    </row>
    <row r="17" spans="1:13" ht="15" thickBot="1" x14ac:dyDescent="0.35">
      <c r="A17" s="164" t="s">
        <v>192</v>
      </c>
      <c r="B17" s="165">
        <v>81</v>
      </c>
      <c r="C17" s="165">
        <v>38</v>
      </c>
      <c r="D17" s="165">
        <v>-77</v>
      </c>
      <c r="E17" s="165">
        <v>-99</v>
      </c>
      <c r="F17" s="165">
        <v>982</v>
      </c>
      <c r="G17" s="165">
        <v>-147</v>
      </c>
      <c r="H17" s="165">
        <v>742</v>
      </c>
      <c r="I17" s="165">
        <v>442</v>
      </c>
      <c r="J17" s="165">
        <v>-242</v>
      </c>
      <c r="K17" s="165">
        <v>-621</v>
      </c>
      <c r="L17" s="166">
        <v>1239</v>
      </c>
      <c r="M17" s="165">
        <v>-204</v>
      </c>
    </row>
    <row r="18" spans="1:13" x14ac:dyDescent="0.3">
      <c r="A18" s="163" t="s">
        <v>193</v>
      </c>
      <c r="B18" s="167">
        <v>405</v>
      </c>
      <c r="C18" s="167">
        <v>-342</v>
      </c>
      <c r="D18" s="167">
        <v>-81</v>
      </c>
      <c r="E18" s="167">
        <v>566</v>
      </c>
      <c r="F18" s="167">
        <v>836</v>
      </c>
      <c r="G18" s="167">
        <v>-342</v>
      </c>
      <c r="H18" s="167">
        <v>411</v>
      </c>
      <c r="I18" s="167">
        <v>-101</v>
      </c>
      <c r="J18" s="162">
        <v>-1000</v>
      </c>
      <c r="K18" s="167">
        <v>-960</v>
      </c>
      <c r="L18" s="162">
        <v>1313</v>
      </c>
      <c r="M18" s="167">
        <v>-788</v>
      </c>
    </row>
    <row r="19" spans="1:13" x14ac:dyDescent="0.3">
      <c r="A19" s="164" t="s">
        <v>194</v>
      </c>
      <c r="B19" s="166">
        <v>-1384</v>
      </c>
      <c r="C19" s="166">
        <v>-1862</v>
      </c>
      <c r="D19" s="166">
        <v>-1765</v>
      </c>
      <c r="E19" s="166">
        <v>-1859</v>
      </c>
      <c r="F19" s="166">
        <v>-2264</v>
      </c>
      <c r="G19" s="166">
        <v>-2767</v>
      </c>
      <c r="H19" s="166">
        <v>-2505</v>
      </c>
      <c r="I19" s="166">
        <v>-2407</v>
      </c>
      <c r="J19" s="166">
        <v>-2784</v>
      </c>
      <c r="K19" s="166">
        <v>-3138</v>
      </c>
      <c r="L19" s="165">
        <v>-381</v>
      </c>
      <c r="M19" s="166">
        <v>-2268</v>
      </c>
    </row>
    <row r="20" spans="1:13" x14ac:dyDescent="0.3">
      <c r="A20" s="164" t="s">
        <v>195</v>
      </c>
      <c r="B20" s="165">
        <v>-5</v>
      </c>
      <c r="C20" s="165">
        <v>-14</v>
      </c>
      <c r="D20" s="165">
        <v>-8</v>
      </c>
      <c r="E20" s="165">
        <v>-21</v>
      </c>
      <c r="F20" s="165">
        <v>0</v>
      </c>
      <c r="G20" s="165">
        <v>0</v>
      </c>
      <c r="H20" s="165">
        <v>0</v>
      </c>
      <c r="I20" s="165">
        <v>0</v>
      </c>
      <c r="J20" s="165">
        <v>0</v>
      </c>
      <c r="K20" s="165">
        <v>0</v>
      </c>
      <c r="L20" s="165">
        <v>0</v>
      </c>
      <c r="M20" s="165">
        <v>0</v>
      </c>
    </row>
    <row r="21" spans="1:13" ht="15" thickBot="1" x14ac:dyDescent="0.35">
      <c r="A21" s="164" t="s">
        <v>196</v>
      </c>
      <c r="B21" s="165">
        <v>0</v>
      </c>
      <c r="C21" s="165">
        <v>0</v>
      </c>
      <c r="D21" s="165">
        <v>0</v>
      </c>
      <c r="E21" s="165">
        <v>-13</v>
      </c>
      <c r="F21" s="165">
        <v>2</v>
      </c>
      <c r="G21" s="165">
        <v>0</v>
      </c>
      <c r="H21" s="165">
        <v>-6</v>
      </c>
      <c r="I21" s="165">
        <v>-1</v>
      </c>
      <c r="J21" s="165">
        <v>3</v>
      </c>
      <c r="K21" s="165">
        <v>0</v>
      </c>
      <c r="L21" s="165">
        <v>0</v>
      </c>
      <c r="M21" s="165">
        <v>0</v>
      </c>
    </row>
    <row r="22" spans="1:13" x14ac:dyDescent="0.3">
      <c r="A22" s="168" t="s">
        <v>197</v>
      </c>
      <c r="B22" s="169">
        <v>-475</v>
      </c>
      <c r="C22" s="169">
        <v>138</v>
      </c>
      <c r="D22" s="169">
        <v>-282</v>
      </c>
      <c r="E22" s="170">
        <v>-1173</v>
      </c>
      <c r="F22" s="170">
        <v>-1063</v>
      </c>
      <c r="G22" s="169">
        <v>-438</v>
      </c>
      <c r="H22" s="170">
        <v>1791</v>
      </c>
      <c r="I22" s="170">
        <v>-1228</v>
      </c>
      <c r="J22" s="170">
        <v>-1728</v>
      </c>
      <c r="K22" s="170">
        <v>-1484</v>
      </c>
      <c r="L22" s="170">
        <v>-5324</v>
      </c>
      <c r="M22" s="170">
        <v>6473</v>
      </c>
    </row>
    <row r="23" spans="1:13" x14ac:dyDescent="0.3">
      <c r="A23" s="171" t="s">
        <v>198</v>
      </c>
      <c r="B23" s="172">
        <v>-606</v>
      </c>
      <c r="C23" s="172">
        <v>-606</v>
      </c>
      <c r="D23" s="172">
        <v>-810</v>
      </c>
      <c r="E23" s="173">
        <v>-1113</v>
      </c>
      <c r="F23" s="172">
        <v>-895</v>
      </c>
      <c r="G23" s="172">
        <v>-767</v>
      </c>
      <c r="H23" s="172">
        <v>-862</v>
      </c>
      <c r="I23" s="173">
        <v>-4163</v>
      </c>
      <c r="J23" s="173">
        <v>-1228</v>
      </c>
      <c r="K23" s="173">
        <v>-1192</v>
      </c>
      <c r="L23" s="173">
        <v>-1477</v>
      </c>
      <c r="M23" s="173">
        <v>-1275</v>
      </c>
    </row>
    <row r="24" spans="1:13" x14ac:dyDescent="0.3">
      <c r="A24" s="171" t="s">
        <v>199</v>
      </c>
      <c r="B24" s="172">
        <v>229</v>
      </c>
      <c r="C24" s="172">
        <v>560</v>
      </c>
      <c r="D24" s="172">
        <v>99</v>
      </c>
      <c r="E24" s="172">
        <v>176</v>
      </c>
      <c r="F24" s="172">
        <v>32</v>
      </c>
      <c r="G24" s="172">
        <v>13</v>
      </c>
      <c r="H24" s="172">
        <v>52</v>
      </c>
      <c r="I24" s="172">
        <v>97</v>
      </c>
      <c r="J24" s="172">
        <v>175</v>
      </c>
      <c r="K24" s="172">
        <v>181</v>
      </c>
      <c r="L24" s="172">
        <v>20</v>
      </c>
      <c r="M24" s="172">
        <v>13</v>
      </c>
    </row>
    <row r="25" spans="1:13" x14ac:dyDescent="0.3">
      <c r="A25" s="171" t="s">
        <v>200</v>
      </c>
      <c r="B25" s="173">
        <v>-9538</v>
      </c>
      <c r="C25" s="173">
        <v>-19353</v>
      </c>
      <c r="D25" s="173">
        <v>-20666</v>
      </c>
      <c r="E25" s="173">
        <v>-31214</v>
      </c>
      <c r="F25" s="173">
        <v>-51855</v>
      </c>
      <c r="G25" s="173">
        <v>-74365</v>
      </c>
      <c r="H25" s="173">
        <v>-36090</v>
      </c>
      <c r="I25" s="173">
        <v>-39920</v>
      </c>
      <c r="J25" s="173">
        <v>-48522</v>
      </c>
      <c r="K25" s="173">
        <v>-22649</v>
      </c>
      <c r="L25" s="173">
        <v>-21337</v>
      </c>
      <c r="M25" s="173">
        <v>-22957</v>
      </c>
    </row>
    <row r="26" spans="1:13" x14ac:dyDescent="0.3">
      <c r="A26" s="171" t="s">
        <v>201</v>
      </c>
      <c r="B26" s="173">
        <v>9213</v>
      </c>
      <c r="C26" s="173">
        <v>19461</v>
      </c>
      <c r="D26" s="173">
        <v>20937</v>
      </c>
      <c r="E26" s="173">
        <v>30083</v>
      </c>
      <c r="F26" s="173">
        <v>52897</v>
      </c>
      <c r="G26" s="173">
        <v>74691</v>
      </c>
      <c r="H26" s="173">
        <v>37690</v>
      </c>
      <c r="I26" s="173">
        <v>38486</v>
      </c>
      <c r="J26" s="173">
        <v>47786</v>
      </c>
      <c r="K26" s="173">
        <v>23462</v>
      </c>
      <c r="L26" s="173">
        <v>19846</v>
      </c>
      <c r="M26" s="173">
        <v>23987</v>
      </c>
    </row>
    <row r="27" spans="1:13" x14ac:dyDescent="0.3">
      <c r="A27" s="171" t="s">
        <v>202</v>
      </c>
      <c r="B27" s="172">
        <v>232</v>
      </c>
      <c r="C27" s="172">
        <v>218</v>
      </c>
      <c r="D27" s="172">
        <v>315</v>
      </c>
      <c r="E27" s="172">
        <v>264</v>
      </c>
      <c r="F27" s="172">
        <v>297</v>
      </c>
      <c r="G27" s="172">
        <v>289</v>
      </c>
      <c r="H27" s="172">
        <v>351</v>
      </c>
      <c r="I27" s="172">
        <v>277</v>
      </c>
      <c r="J27" s="172">
        <v>161</v>
      </c>
      <c r="K27" s="172">
        <v>259</v>
      </c>
      <c r="L27" s="172">
        <v>425</v>
      </c>
      <c r="M27" s="172">
        <v>835</v>
      </c>
    </row>
    <row r="28" spans="1:13" x14ac:dyDescent="0.3">
      <c r="A28" s="171" t="s">
        <v>203</v>
      </c>
      <c r="B28" s="172">
        <v>16</v>
      </c>
      <c r="C28" s="172">
        <v>24</v>
      </c>
      <c r="D28" s="172">
        <v>33</v>
      </c>
      <c r="E28" s="172">
        <v>14</v>
      </c>
      <c r="F28" s="172">
        <v>0</v>
      </c>
      <c r="G28" s="172">
        <v>1</v>
      </c>
      <c r="H28" s="172">
        <v>1</v>
      </c>
      <c r="I28" s="172">
        <v>1</v>
      </c>
      <c r="J28" s="172">
        <v>1</v>
      </c>
      <c r="K28" s="172">
        <v>2</v>
      </c>
      <c r="L28" s="172">
        <v>3</v>
      </c>
      <c r="M28" s="172">
        <v>0</v>
      </c>
    </row>
    <row r="29" spans="1:13" x14ac:dyDescent="0.3">
      <c r="A29" s="171" t="s">
        <v>204</v>
      </c>
      <c r="B29" s="172">
        <v>-101</v>
      </c>
      <c r="C29" s="172">
        <v>0</v>
      </c>
      <c r="D29" s="172">
        <v>0</v>
      </c>
      <c r="E29" s="172">
        <v>0</v>
      </c>
      <c r="F29" s="172">
        <v>0</v>
      </c>
      <c r="G29" s="172">
        <v>0</v>
      </c>
      <c r="H29" s="172">
        <v>0</v>
      </c>
      <c r="I29" s="172">
        <v>0</v>
      </c>
      <c r="J29" s="172">
        <v>0</v>
      </c>
      <c r="K29" s="172">
        <v>0</v>
      </c>
      <c r="L29" s="172">
        <v>0</v>
      </c>
      <c r="M29" s="172">
        <v>0</v>
      </c>
    </row>
    <row r="30" spans="1:13" x14ac:dyDescent="0.3">
      <c r="A30" s="171" t="s">
        <v>205</v>
      </c>
      <c r="B30" s="172">
        <v>-104</v>
      </c>
      <c r="C30" s="172">
        <v>0</v>
      </c>
      <c r="D30" s="172">
        <v>0</v>
      </c>
      <c r="E30" s="172">
        <v>0</v>
      </c>
      <c r="F30" s="172">
        <v>0</v>
      </c>
      <c r="G30" s="172">
        <v>0</v>
      </c>
      <c r="H30" s="172">
        <v>0</v>
      </c>
      <c r="I30" s="172">
        <v>0</v>
      </c>
      <c r="J30" s="172">
        <v>0</v>
      </c>
      <c r="K30" s="172">
        <v>0</v>
      </c>
      <c r="L30" s="172">
        <v>0</v>
      </c>
      <c r="M30" s="172">
        <v>0</v>
      </c>
    </row>
    <row r="31" spans="1:13" x14ac:dyDescent="0.3">
      <c r="A31" s="171" t="s">
        <v>206</v>
      </c>
      <c r="B31" s="172">
        <v>0</v>
      </c>
      <c r="C31" s="172">
        <v>200</v>
      </c>
      <c r="D31" s="172">
        <v>161</v>
      </c>
      <c r="E31" s="172">
        <v>20</v>
      </c>
      <c r="F31" s="172">
        <v>73</v>
      </c>
      <c r="G31" s="172">
        <v>0</v>
      </c>
      <c r="H31" s="172">
        <v>0</v>
      </c>
      <c r="I31" s="172">
        <v>0</v>
      </c>
      <c r="J31" s="172">
        <v>0</v>
      </c>
      <c r="K31" s="172">
        <v>0</v>
      </c>
      <c r="L31" s="172">
        <v>0</v>
      </c>
      <c r="M31" s="172">
        <v>0</v>
      </c>
    </row>
    <row r="32" spans="1:13" x14ac:dyDescent="0.3">
      <c r="A32" s="171" t="s">
        <v>207</v>
      </c>
      <c r="B32" s="172">
        <v>0</v>
      </c>
      <c r="C32" s="172">
        <v>0</v>
      </c>
      <c r="D32" s="172">
        <v>0</v>
      </c>
      <c r="E32" s="172">
        <v>0</v>
      </c>
      <c r="F32" s="172">
        <v>0</v>
      </c>
      <c r="G32" s="172">
        <v>0</v>
      </c>
      <c r="H32" s="172">
        <v>0</v>
      </c>
      <c r="I32" s="172">
        <v>0</v>
      </c>
      <c r="J32" s="172">
        <v>0</v>
      </c>
      <c r="K32" s="172">
        <v>-334</v>
      </c>
      <c r="L32" s="172">
        <v>0</v>
      </c>
      <c r="M32" s="172">
        <v>0</v>
      </c>
    </row>
    <row r="33" spans="1:13" ht="15" thickBot="1" x14ac:dyDescent="0.35">
      <c r="A33" s="171" t="s">
        <v>208</v>
      </c>
      <c r="B33" s="172">
        <v>183</v>
      </c>
      <c r="C33" s="172">
        <v>-367</v>
      </c>
      <c r="D33" s="172">
        <v>-351</v>
      </c>
      <c r="E33" s="172">
        <v>597</v>
      </c>
      <c r="F33" s="173">
        <v>-1612</v>
      </c>
      <c r="G33" s="172">
        <v>-300</v>
      </c>
      <c r="H33" s="172">
        <v>649</v>
      </c>
      <c r="I33" s="173">
        <v>3994</v>
      </c>
      <c r="J33" s="172">
        <v>-101</v>
      </c>
      <c r="K33" s="173">
        <v>-1213</v>
      </c>
      <c r="L33" s="173">
        <v>-2804</v>
      </c>
      <c r="M33" s="173">
        <v>5870</v>
      </c>
    </row>
    <row r="34" spans="1:13" x14ac:dyDescent="0.3">
      <c r="A34" s="161" t="s">
        <v>209</v>
      </c>
      <c r="B34" s="162">
        <v>-2960</v>
      </c>
      <c r="C34" s="162">
        <v>-3462</v>
      </c>
      <c r="D34" s="162">
        <v>-3864</v>
      </c>
      <c r="E34" s="162">
        <v>-4214</v>
      </c>
      <c r="F34" s="162">
        <v>-4975</v>
      </c>
      <c r="G34" s="162">
        <v>-5390</v>
      </c>
      <c r="H34" s="162">
        <v>-6819</v>
      </c>
      <c r="I34" s="162">
        <v>-9309</v>
      </c>
      <c r="J34" s="162">
        <v>-8015</v>
      </c>
      <c r="K34" s="162">
        <v>-8953</v>
      </c>
      <c r="L34" s="162">
        <v>-10034</v>
      </c>
      <c r="M34" s="162">
        <v>-13101</v>
      </c>
    </row>
    <row r="35" spans="1:13" x14ac:dyDescent="0.3">
      <c r="A35" s="164" t="s">
        <v>210</v>
      </c>
      <c r="B35" s="165">
        <v>2</v>
      </c>
      <c r="C35" s="165">
        <v>2</v>
      </c>
      <c r="D35" s="165">
        <v>0</v>
      </c>
      <c r="E35" s="165">
        <v>0</v>
      </c>
      <c r="F35" s="165">
        <v>0</v>
      </c>
      <c r="G35" s="165">
        <v>0</v>
      </c>
      <c r="H35" s="165">
        <v>0</v>
      </c>
      <c r="I35" s="165">
        <v>0</v>
      </c>
      <c r="J35" s="165">
        <v>0</v>
      </c>
      <c r="K35" s="165">
        <v>0</v>
      </c>
      <c r="L35" s="165">
        <v>0</v>
      </c>
      <c r="M35" s="165">
        <v>0</v>
      </c>
    </row>
    <row r="36" spans="1:13" x14ac:dyDescent="0.3">
      <c r="A36" s="164" t="s">
        <v>211</v>
      </c>
      <c r="B36" s="165">
        <v>0</v>
      </c>
      <c r="C36" s="165">
        <v>0</v>
      </c>
      <c r="D36" s="165">
        <v>177</v>
      </c>
      <c r="E36" s="165">
        <v>460</v>
      </c>
      <c r="F36" s="165">
        <v>0</v>
      </c>
      <c r="G36" s="165">
        <v>99</v>
      </c>
      <c r="H36" s="165">
        <v>0</v>
      </c>
      <c r="I36" s="165">
        <v>188</v>
      </c>
      <c r="J36" s="165">
        <v>55</v>
      </c>
      <c r="K36" s="165">
        <v>286</v>
      </c>
      <c r="L36" s="165">
        <v>0</v>
      </c>
      <c r="M36" s="165">
        <v>0</v>
      </c>
    </row>
    <row r="37" spans="1:13" x14ac:dyDescent="0.3">
      <c r="A37" s="164" t="s">
        <v>212</v>
      </c>
      <c r="B37" s="165">
        <v>-15</v>
      </c>
      <c r="C37" s="165">
        <v>-3</v>
      </c>
      <c r="D37" s="165">
        <v>0</v>
      </c>
      <c r="E37" s="165">
        <v>-360</v>
      </c>
      <c r="F37" s="165">
        <v>-277</v>
      </c>
      <c r="G37" s="165">
        <v>0</v>
      </c>
      <c r="H37" s="165">
        <v>-99</v>
      </c>
      <c r="I37" s="165">
        <v>-188</v>
      </c>
      <c r="J37" s="165">
        <v>-55</v>
      </c>
      <c r="K37" s="165">
        <v>-208</v>
      </c>
      <c r="L37" s="165">
        <v>-85</v>
      </c>
      <c r="M37" s="165">
        <v>0</v>
      </c>
    </row>
    <row r="38" spans="1:13" x14ac:dyDescent="0.3">
      <c r="A38" s="164" t="s">
        <v>213</v>
      </c>
      <c r="B38" s="165">
        <v>-29</v>
      </c>
      <c r="C38" s="165">
        <v>-18</v>
      </c>
      <c r="D38" s="165">
        <v>-2</v>
      </c>
      <c r="E38" s="165">
        <v>-14</v>
      </c>
      <c r="F38" s="165">
        <v>-6</v>
      </c>
      <c r="G38" s="165">
        <v>-7</v>
      </c>
      <c r="H38" s="165">
        <v>-90</v>
      </c>
      <c r="I38" s="165">
        <v>-92</v>
      </c>
      <c r="J38" s="165">
        <v>-82</v>
      </c>
      <c r="K38" s="165">
        <v>-88</v>
      </c>
      <c r="L38" s="165">
        <v>-110</v>
      </c>
      <c r="M38" s="165">
        <v>-130</v>
      </c>
    </row>
    <row r="39" spans="1:13" x14ac:dyDescent="0.3">
      <c r="A39" s="164" t="s">
        <v>214</v>
      </c>
      <c r="B39" s="166">
        <v>-2481</v>
      </c>
      <c r="C39" s="166">
        <v>-2912</v>
      </c>
      <c r="D39" s="166">
        <v>-3354</v>
      </c>
      <c r="E39" s="166">
        <v>-3572</v>
      </c>
      <c r="F39" s="166">
        <v>-3911</v>
      </c>
      <c r="G39" s="166">
        <v>-4554</v>
      </c>
      <c r="H39" s="166">
        <v>-5196</v>
      </c>
      <c r="I39" s="166">
        <v>-8811</v>
      </c>
      <c r="J39" s="166">
        <v>-7526</v>
      </c>
      <c r="K39" s="166">
        <v>-8474</v>
      </c>
      <c r="L39" s="166">
        <v>-9416</v>
      </c>
      <c r="M39" s="166">
        <v>-12473</v>
      </c>
    </row>
    <row r="40" spans="1:13" x14ac:dyDescent="0.3">
      <c r="A40" s="164" t="s">
        <v>215</v>
      </c>
      <c r="B40" s="165">
        <v>0</v>
      </c>
      <c r="C40" s="165">
        <v>0</v>
      </c>
      <c r="D40" s="165">
        <v>0</v>
      </c>
      <c r="E40" s="165">
        <v>0</v>
      </c>
      <c r="F40" s="165">
        <v>0</v>
      </c>
      <c r="G40" s="165">
        <v>0</v>
      </c>
      <c r="H40" s="165">
        <v>-373</v>
      </c>
      <c r="I40" s="165">
        <v>-406</v>
      </c>
      <c r="J40" s="165">
        <v>-407</v>
      </c>
      <c r="K40" s="165">
        <v>-467</v>
      </c>
      <c r="L40" s="165">
        <v>-423</v>
      </c>
      <c r="M40" s="165">
        <v>-498</v>
      </c>
    </row>
    <row r="41" spans="1:13" ht="15" thickBot="1" x14ac:dyDescent="0.35">
      <c r="A41" s="164" t="s">
        <v>216</v>
      </c>
      <c r="B41" s="165">
        <v>-437</v>
      </c>
      <c r="C41" s="165">
        <v>-533</v>
      </c>
      <c r="D41" s="165">
        <v>-685</v>
      </c>
      <c r="E41" s="165">
        <v>-728</v>
      </c>
      <c r="F41" s="165">
        <v>-781</v>
      </c>
      <c r="G41" s="165">
        <v>-928</v>
      </c>
      <c r="H41" s="166">
        <v>-1061</v>
      </c>
      <c r="I41" s="165">
        <v>0</v>
      </c>
      <c r="J41" s="165">
        <v>0</v>
      </c>
      <c r="K41" s="165">
        <v>-2</v>
      </c>
      <c r="L41" s="165">
        <v>0</v>
      </c>
      <c r="M41" s="165">
        <v>0</v>
      </c>
    </row>
    <row r="42" spans="1:13" x14ac:dyDescent="0.3">
      <c r="A42" s="168" t="s">
        <v>155</v>
      </c>
      <c r="B42" s="169">
        <v>383</v>
      </c>
      <c r="C42" s="169">
        <v>-33</v>
      </c>
      <c r="D42" s="169">
        <v>25</v>
      </c>
      <c r="E42" s="169">
        <v>-202</v>
      </c>
      <c r="F42" s="169">
        <v>21</v>
      </c>
      <c r="G42" s="169">
        <v>-28</v>
      </c>
      <c r="H42" s="170">
        <v>2595</v>
      </c>
      <c r="I42" s="170">
        <v>-1374</v>
      </c>
      <c r="J42" s="169">
        <v>-695</v>
      </c>
      <c r="K42" s="169">
        <v>-446</v>
      </c>
      <c r="L42" s="169">
        <v>111</v>
      </c>
      <c r="M42" s="170">
        <v>5258</v>
      </c>
    </row>
  </sheetData>
  <hyperlinks>
    <hyperlink ref="J1" r:id="rId1" xr:uid="{7D4DAE1D-30C4-4775-9F4F-14D3EA45305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75A0B-8188-41B0-A4D5-95439BE3FCDC}">
  <dimension ref="A1:K93"/>
  <sheetViews>
    <sheetView topLeftCell="A55" workbookViewId="0">
      <selection activeCell="M69" sqref="M69"/>
    </sheetView>
  </sheetViews>
  <sheetFormatPr defaultColWidth="8.77734375" defaultRowHeight="14.4" x14ac:dyDescent="0.3"/>
  <cols>
    <col min="1" max="1" width="27.6640625" style="148" bestFit="1" customWidth="1"/>
    <col min="2" max="11" width="13.44140625" style="148" bestFit="1" customWidth="1"/>
    <col min="12" max="16384" width="8.77734375" style="148"/>
  </cols>
  <sheetData>
    <row r="1" spans="1:11" s="139" customFormat="1" x14ac:dyDescent="0.3">
      <c r="A1" s="139" t="s">
        <v>156</v>
      </c>
      <c r="B1" s="139" t="s">
        <v>157</v>
      </c>
      <c r="E1" s="152" t="str">
        <f>IF(B2&lt;&gt;B3, "A NEW VERSION OF THE WORKSHEET IS AVAILABLE", "")</f>
        <v/>
      </c>
      <c r="F1" s="152"/>
      <c r="G1" s="152"/>
      <c r="H1" s="152"/>
      <c r="I1" s="152"/>
      <c r="J1" s="152"/>
      <c r="K1" s="152"/>
    </row>
    <row r="2" spans="1:11" x14ac:dyDescent="0.3">
      <c r="A2" s="139" t="s">
        <v>158</v>
      </c>
      <c r="B2" s="148">
        <v>2.1</v>
      </c>
      <c r="E2" s="153" t="s">
        <v>159</v>
      </c>
      <c r="F2" s="153"/>
      <c r="G2" s="153"/>
      <c r="H2" s="153"/>
      <c r="I2" s="153"/>
      <c r="J2" s="153"/>
      <c r="K2" s="153"/>
    </row>
    <row r="3" spans="1:11" x14ac:dyDescent="0.3">
      <c r="A3" s="139" t="s">
        <v>160</v>
      </c>
      <c r="B3" s="148">
        <v>2.1</v>
      </c>
    </row>
    <row r="4" spans="1:11" x14ac:dyDescent="0.3">
      <c r="A4" s="139"/>
    </row>
    <row r="5" spans="1:11" x14ac:dyDescent="0.3">
      <c r="A5" s="139" t="s">
        <v>161</v>
      </c>
    </row>
    <row r="6" spans="1:11" x14ac:dyDescent="0.3">
      <c r="A6" s="148" t="s">
        <v>162</v>
      </c>
      <c r="B6" s="148">
        <f>IF(B9&gt;0, B9/B8, 0)</f>
        <v>234.92444784233774</v>
      </c>
    </row>
    <row r="7" spans="1:11" x14ac:dyDescent="0.3">
      <c r="A7" s="148" t="s">
        <v>163</v>
      </c>
      <c r="B7">
        <v>1</v>
      </c>
    </row>
    <row r="8" spans="1:11" x14ac:dyDescent="0.3">
      <c r="A8" s="148" t="s">
        <v>164</v>
      </c>
      <c r="B8">
        <v>2354.4</v>
      </c>
    </row>
    <row r="9" spans="1:11" x14ac:dyDescent="0.3">
      <c r="A9" s="148" t="s">
        <v>165</v>
      </c>
      <c r="B9">
        <v>553106.12</v>
      </c>
    </row>
    <row r="15" spans="1:11" x14ac:dyDescent="0.3">
      <c r="A15" s="139" t="s">
        <v>166</v>
      </c>
    </row>
    <row r="16" spans="1:11" s="150" customFormat="1" x14ac:dyDescent="0.3">
      <c r="A16" s="149" t="s">
        <v>167</v>
      </c>
      <c r="B16" s="137">
        <v>42460</v>
      </c>
      <c r="C16" s="137">
        <v>42825</v>
      </c>
      <c r="D16" s="137">
        <v>43190</v>
      </c>
      <c r="E16" s="137">
        <v>43555</v>
      </c>
      <c r="F16" s="137">
        <v>43921</v>
      </c>
      <c r="G16" s="137">
        <v>44286</v>
      </c>
      <c r="H16" s="137">
        <v>44651</v>
      </c>
      <c r="I16" s="137">
        <v>45016</v>
      </c>
      <c r="J16" s="137">
        <v>45382</v>
      </c>
      <c r="K16" s="137">
        <v>45747</v>
      </c>
    </row>
    <row r="17" spans="1:11" s="140" customFormat="1" x14ac:dyDescent="0.3">
      <c r="A17" s="140" t="s">
        <v>14</v>
      </c>
      <c r="B17">
        <v>32186</v>
      </c>
      <c r="C17">
        <v>33162</v>
      </c>
      <c r="D17">
        <v>35545</v>
      </c>
      <c r="E17">
        <v>39310</v>
      </c>
      <c r="F17">
        <v>39783</v>
      </c>
      <c r="G17">
        <v>47028</v>
      </c>
      <c r="H17">
        <v>52446</v>
      </c>
      <c r="I17">
        <v>60580</v>
      </c>
      <c r="J17">
        <v>61896</v>
      </c>
      <c r="K17">
        <v>63121</v>
      </c>
    </row>
    <row r="18" spans="1:11" s="140" customFormat="1" x14ac:dyDescent="0.3">
      <c r="A18" s="148" t="s">
        <v>168</v>
      </c>
      <c r="B18">
        <v>13184</v>
      </c>
      <c r="C18">
        <v>13606</v>
      </c>
      <c r="D18">
        <v>14233</v>
      </c>
      <c r="E18">
        <v>15845</v>
      </c>
      <c r="F18">
        <v>15697</v>
      </c>
      <c r="G18">
        <v>20141</v>
      </c>
      <c r="H18">
        <v>22871</v>
      </c>
      <c r="I18">
        <v>28427</v>
      </c>
      <c r="J18">
        <v>26822</v>
      </c>
      <c r="K18">
        <v>27344</v>
      </c>
    </row>
    <row r="19" spans="1:11" s="140" customFormat="1" x14ac:dyDescent="0.3">
      <c r="A19" s="148" t="s">
        <v>169</v>
      </c>
      <c r="B19">
        <v>-83</v>
      </c>
      <c r="C19">
        <v>-144</v>
      </c>
      <c r="D19">
        <v>72</v>
      </c>
      <c r="E19">
        <v>-12</v>
      </c>
      <c r="F19">
        <v>108</v>
      </c>
      <c r="G19">
        <v>405</v>
      </c>
      <c r="H19">
        <v>22</v>
      </c>
      <c r="I19">
        <v>75</v>
      </c>
      <c r="J19">
        <v>11</v>
      </c>
      <c r="K19">
        <v>153</v>
      </c>
    </row>
    <row r="20" spans="1:11" s="140" customFormat="1" x14ac:dyDescent="0.3">
      <c r="A20" s="148" t="s">
        <v>170</v>
      </c>
      <c r="B20">
        <v>309</v>
      </c>
      <c r="C20">
        <v>295</v>
      </c>
      <c r="D20">
        <v>295</v>
      </c>
      <c r="E20">
        <v>308</v>
      </c>
      <c r="F20">
        <v>299</v>
      </c>
      <c r="G20">
        <v>339</v>
      </c>
      <c r="H20">
        <v>318</v>
      </c>
      <c r="I20">
        <v>384</v>
      </c>
      <c r="J20">
        <v>446</v>
      </c>
      <c r="K20">
        <v>427</v>
      </c>
    </row>
    <row r="21" spans="1:11" s="140" customFormat="1" x14ac:dyDescent="0.3">
      <c r="A21" s="148" t="s">
        <v>171</v>
      </c>
      <c r="B21">
        <v>2966</v>
      </c>
      <c r="C21">
        <v>2887</v>
      </c>
      <c r="D21">
        <v>2998</v>
      </c>
      <c r="E21">
        <v>3041</v>
      </c>
      <c r="F21">
        <v>2906</v>
      </c>
      <c r="G21">
        <v>2868</v>
      </c>
      <c r="H21">
        <v>3354</v>
      </c>
      <c r="I21">
        <v>3791</v>
      </c>
      <c r="J21">
        <v>3385</v>
      </c>
      <c r="K21">
        <v>3834</v>
      </c>
    </row>
    <row r="22" spans="1:11" s="140" customFormat="1" x14ac:dyDescent="0.3">
      <c r="A22" s="148" t="s">
        <v>172</v>
      </c>
      <c r="B22">
        <v>1680</v>
      </c>
      <c r="C22">
        <v>1743</v>
      </c>
      <c r="D22">
        <v>1860</v>
      </c>
      <c r="E22">
        <v>1875</v>
      </c>
      <c r="F22">
        <v>1820</v>
      </c>
      <c r="G22">
        <v>2358</v>
      </c>
      <c r="H22">
        <v>2545</v>
      </c>
      <c r="I22">
        <v>2854</v>
      </c>
      <c r="J22">
        <v>3009</v>
      </c>
      <c r="K22">
        <v>3077</v>
      </c>
    </row>
    <row r="23" spans="1:11" s="140" customFormat="1" x14ac:dyDescent="0.3">
      <c r="A23" s="148" t="s">
        <v>173</v>
      </c>
      <c r="B23">
        <v>6741</v>
      </c>
      <c r="C23">
        <v>6689</v>
      </c>
      <c r="D23">
        <v>7252</v>
      </c>
      <c r="E23">
        <v>7796</v>
      </c>
      <c r="F23">
        <v>7620</v>
      </c>
      <c r="G23">
        <v>7906</v>
      </c>
      <c r="H23">
        <v>8164</v>
      </c>
      <c r="I23">
        <v>8785</v>
      </c>
      <c r="J23">
        <v>10780</v>
      </c>
      <c r="K23">
        <v>10693</v>
      </c>
    </row>
    <row r="24" spans="1:11" s="140" customFormat="1" x14ac:dyDescent="0.3">
      <c r="A24" s="148" t="s">
        <v>174</v>
      </c>
      <c r="B24">
        <v>1313</v>
      </c>
      <c r="C24">
        <v>1470</v>
      </c>
      <c r="D24">
        <v>1480</v>
      </c>
      <c r="E24">
        <v>1553</v>
      </c>
      <c r="F24">
        <v>1688</v>
      </c>
      <c r="G24">
        <v>2195</v>
      </c>
      <c r="H24">
        <v>2359</v>
      </c>
      <c r="I24">
        <v>2267</v>
      </c>
      <c r="J24">
        <v>2806</v>
      </c>
      <c r="K24">
        <v>3056</v>
      </c>
    </row>
    <row r="25" spans="1:11" s="140" customFormat="1" x14ac:dyDescent="0.3">
      <c r="A25" s="140" t="s">
        <v>116</v>
      </c>
      <c r="B25">
        <v>486</v>
      </c>
      <c r="C25">
        <v>606</v>
      </c>
      <c r="D25">
        <v>353</v>
      </c>
      <c r="E25">
        <v>322</v>
      </c>
      <c r="F25">
        <v>424</v>
      </c>
      <c r="G25">
        <v>170</v>
      </c>
      <c r="H25">
        <v>219</v>
      </c>
      <c r="I25">
        <v>448</v>
      </c>
      <c r="J25">
        <v>817</v>
      </c>
      <c r="K25">
        <v>1322</v>
      </c>
    </row>
    <row r="26" spans="1:11" s="140" customFormat="1" x14ac:dyDescent="0.3">
      <c r="A26" s="140" t="s">
        <v>117</v>
      </c>
      <c r="B26">
        <v>353</v>
      </c>
      <c r="C26">
        <v>432</v>
      </c>
      <c r="D26">
        <v>520</v>
      </c>
      <c r="E26">
        <v>565</v>
      </c>
      <c r="F26">
        <v>1002</v>
      </c>
      <c r="G26">
        <v>1074</v>
      </c>
      <c r="H26">
        <v>1091</v>
      </c>
      <c r="I26">
        <v>1137</v>
      </c>
      <c r="J26">
        <v>1216</v>
      </c>
      <c r="K26">
        <v>1355</v>
      </c>
    </row>
    <row r="27" spans="1:11" s="140" customFormat="1" x14ac:dyDescent="0.3">
      <c r="A27" s="140" t="s">
        <v>118</v>
      </c>
      <c r="B27">
        <v>17</v>
      </c>
      <c r="C27">
        <v>35</v>
      </c>
      <c r="D27">
        <v>26</v>
      </c>
      <c r="E27">
        <v>33</v>
      </c>
      <c r="F27">
        <v>118</v>
      </c>
      <c r="G27">
        <v>117</v>
      </c>
      <c r="H27">
        <v>106</v>
      </c>
      <c r="I27">
        <v>114</v>
      </c>
      <c r="J27">
        <v>334</v>
      </c>
      <c r="K27">
        <v>395</v>
      </c>
    </row>
    <row r="28" spans="1:11" s="140" customFormat="1" x14ac:dyDescent="0.3">
      <c r="A28" s="140" t="s">
        <v>119</v>
      </c>
      <c r="B28">
        <v>6026</v>
      </c>
      <c r="C28">
        <v>6467</v>
      </c>
      <c r="D28">
        <v>7306</v>
      </c>
      <c r="E28">
        <v>8604</v>
      </c>
      <c r="F28">
        <v>9165</v>
      </c>
      <c r="G28">
        <v>10605</v>
      </c>
      <c r="H28">
        <v>11879</v>
      </c>
      <c r="I28">
        <v>13344</v>
      </c>
      <c r="J28">
        <v>13926</v>
      </c>
      <c r="K28">
        <v>14415</v>
      </c>
    </row>
    <row r="29" spans="1:11" s="140" customFormat="1" x14ac:dyDescent="0.3">
      <c r="A29" s="140" t="s">
        <v>120</v>
      </c>
      <c r="B29">
        <v>1875</v>
      </c>
      <c r="C29">
        <v>1977</v>
      </c>
      <c r="D29">
        <v>2079</v>
      </c>
      <c r="E29">
        <v>2544</v>
      </c>
      <c r="F29">
        <v>2409</v>
      </c>
      <c r="G29">
        <v>2606</v>
      </c>
      <c r="H29">
        <v>2987</v>
      </c>
      <c r="I29">
        <v>3201</v>
      </c>
      <c r="J29">
        <v>3644</v>
      </c>
      <c r="K29">
        <v>3744</v>
      </c>
    </row>
    <row r="30" spans="1:11" s="140" customFormat="1" x14ac:dyDescent="0.3">
      <c r="A30" s="140" t="s">
        <v>121</v>
      </c>
      <c r="B30">
        <v>4151</v>
      </c>
      <c r="C30">
        <v>4476</v>
      </c>
      <c r="D30">
        <v>5214</v>
      </c>
      <c r="E30">
        <v>6054</v>
      </c>
      <c r="F30">
        <v>6748</v>
      </c>
      <c r="G30">
        <v>7995</v>
      </c>
      <c r="H30">
        <v>8879</v>
      </c>
      <c r="I30">
        <v>10120</v>
      </c>
      <c r="J30">
        <v>10277</v>
      </c>
      <c r="K30">
        <v>10649</v>
      </c>
    </row>
    <row r="31" spans="1:11" s="140" customFormat="1" x14ac:dyDescent="0.3">
      <c r="A31" s="140" t="s">
        <v>175</v>
      </c>
      <c r="B31">
        <v>3456</v>
      </c>
      <c r="C31">
        <v>3672</v>
      </c>
      <c r="D31">
        <v>4320</v>
      </c>
      <c r="E31">
        <v>4752</v>
      </c>
      <c r="F31">
        <v>5400</v>
      </c>
      <c r="G31">
        <v>9517.5</v>
      </c>
      <c r="H31">
        <v>7990</v>
      </c>
      <c r="I31">
        <v>9165</v>
      </c>
      <c r="J31">
        <v>9870</v>
      </c>
      <c r="K31">
        <v>12455</v>
      </c>
    </row>
    <row r="32" spans="1:11" s="140" customFormat="1" x14ac:dyDescent="0.3"/>
    <row r="33" spans="1:11" x14ac:dyDescent="0.3">
      <c r="A33" s="140"/>
    </row>
    <row r="34" spans="1:11" x14ac:dyDescent="0.3">
      <c r="A34" s="140"/>
    </row>
    <row r="35" spans="1:11" x14ac:dyDescent="0.3">
      <c r="A35" s="140"/>
    </row>
    <row r="36" spans="1:11" x14ac:dyDescent="0.3">
      <c r="A36" s="140"/>
    </row>
    <row r="37" spans="1:11" x14ac:dyDescent="0.3">
      <c r="A37" s="140"/>
    </row>
    <row r="38" spans="1:11" x14ac:dyDescent="0.3">
      <c r="A38" s="140"/>
    </row>
    <row r="39" spans="1:11" x14ac:dyDescent="0.3">
      <c r="A39" s="140"/>
    </row>
    <row r="40" spans="1:11" x14ac:dyDescent="0.3">
      <c r="A40" s="139" t="s">
        <v>176</v>
      </c>
    </row>
    <row r="41" spans="1:11" s="150" customFormat="1" x14ac:dyDescent="0.3">
      <c r="A41" s="149" t="s">
        <v>167</v>
      </c>
      <c r="B41" s="137">
        <v>45107</v>
      </c>
      <c r="C41" s="137">
        <v>45199</v>
      </c>
      <c r="D41" s="137">
        <v>45291</v>
      </c>
      <c r="E41" s="137">
        <v>45382</v>
      </c>
      <c r="F41" s="137">
        <v>45473</v>
      </c>
      <c r="G41" s="137">
        <v>45565</v>
      </c>
      <c r="H41" s="137">
        <v>45657</v>
      </c>
      <c r="I41" s="137">
        <v>45747</v>
      </c>
      <c r="J41" s="137">
        <v>45838</v>
      </c>
      <c r="K41" s="137">
        <v>45930</v>
      </c>
    </row>
    <row r="42" spans="1:11" s="140" customFormat="1" x14ac:dyDescent="0.3">
      <c r="A42" s="140" t="s">
        <v>14</v>
      </c>
      <c r="B42">
        <v>15496</v>
      </c>
      <c r="C42">
        <v>15623</v>
      </c>
      <c r="D42">
        <v>15567</v>
      </c>
      <c r="E42">
        <v>15210</v>
      </c>
      <c r="F42">
        <v>15707</v>
      </c>
      <c r="G42">
        <v>15926</v>
      </c>
      <c r="H42">
        <v>15818</v>
      </c>
      <c r="I42">
        <v>15670</v>
      </c>
      <c r="J42">
        <v>16514</v>
      </c>
      <c r="K42">
        <v>16241</v>
      </c>
    </row>
    <row r="43" spans="1:11" s="140" customFormat="1" x14ac:dyDescent="0.3">
      <c r="A43" s="140" t="s">
        <v>114</v>
      </c>
      <c r="B43">
        <v>11832</v>
      </c>
      <c r="C43">
        <v>11828</v>
      </c>
      <c r="D43">
        <v>11902</v>
      </c>
      <c r="E43">
        <v>11675</v>
      </c>
      <c r="F43">
        <v>11965</v>
      </c>
      <c r="G43">
        <v>12139</v>
      </c>
      <c r="H43">
        <v>12123</v>
      </c>
      <c r="I43">
        <v>12052</v>
      </c>
      <c r="J43">
        <v>12797</v>
      </c>
      <c r="K43">
        <v>12515</v>
      </c>
    </row>
    <row r="44" spans="1:11" s="140" customFormat="1" x14ac:dyDescent="0.3">
      <c r="A44" s="140" t="s">
        <v>116</v>
      </c>
      <c r="B44">
        <v>146</v>
      </c>
      <c r="C44">
        <v>178</v>
      </c>
      <c r="D44">
        <v>184</v>
      </c>
      <c r="E44">
        <v>309</v>
      </c>
      <c r="F44">
        <v>209</v>
      </c>
      <c r="G44">
        <v>203</v>
      </c>
      <c r="H44">
        <v>740</v>
      </c>
      <c r="I44">
        <v>171</v>
      </c>
      <c r="J44">
        <v>74</v>
      </c>
      <c r="K44">
        <v>331</v>
      </c>
    </row>
    <row r="45" spans="1:11" s="140" customFormat="1" x14ac:dyDescent="0.3">
      <c r="A45" s="140" t="s">
        <v>117</v>
      </c>
      <c r="B45">
        <v>286</v>
      </c>
      <c r="C45">
        <v>297</v>
      </c>
      <c r="D45">
        <v>313</v>
      </c>
      <c r="E45">
        <v>320</v>
      </c>
      <c r="F45">
        <v>329</v>
      </c>
      <c r="G45">
        <v>338</v>
      </c>
      <c r="H45">
        <v>341</v>
      </c>
      <c r="I45">
        <v>347</v>
      </c>
      <c r="J45">
        <v>361</v>
      </c>
      <c r="K45">
        <v>358</v>
      </c>
    </row>
    <row r="46" spans="1:11" s="140" customFormat="1" x14ac:dyDescent="0.3">
      <c r="A46" s="140" t="s">
        <v>118</v>
      </c>
      <c r="B46">
        <v>50</v>
      </c>
      <c r="C46">
        <v>88</v>
      </c>
      <c r="D46">
        <v>91</v>
      </c>
      <c r="E46">
        <v>105</v>
      </c>
      <c r="F46">
        <v>93</v>
      </c>
      <c r="G46">
        <v>110</v>
      </c>
      <c r="H46">
        <v>112</v>
      </c>
      <c r="I46">
        <v>80</v>
      </c>
      <c r="J46">
        <v>127</v>
      </c>
      <c r="K46">
        <v>129</v>
      </c>
    </row>
    <row r="47" spans="1:11" s="140" customFormat="1" x14ac:dyDescent="0.3">
      <c r="A47" s="140" t="s">
        <v>119</v>
      </c>
      <c r="B47">
        <v>3474</v>
      </c>
      <c r="C47">
        <v>3588</v>
      </c>
      <c r="D47">
        <v>3445</v>
      </c>
      <c r="E47">
        <v>3419</v>
      </c>
      <c r="F47">
        <v>3529</v>
      </c>
      <c r="G47">
        <v>3542</v>
      </c>
      <c r="H47">
        <v>3982</v>
      </c>
      <c r="I47">
        <v>3362</v>
      </c>
      <c r="J47">
        <v>3303</v>
      </c>
      <c r="K47">
        <v>3570</v>
      </c>
    </row>
    <row r="48" spans="1:11" s="140" customFormat="1" x14ac:dyDescent="0.3">
      <c r="A48" s="140" t="s">
        <v>120</v>
      </c>
      <c r="B48">
        <v>918</v>
      </c>
      <c r="C48">
        <v>931</v>
      </c>
      <c r="D48">
        <v>937</v>
      </c>
      <c r="E48">
        <v>858</v>
      </c>
      <c r="F48">
        <v>917</v>
      </c>
      <c r="G48">
        <v>947</v>
      </c>
      <c r="H48">
        <v>993</v>
      </c>
      <c r="I48">
        <v>887</v>
      </c>
      <c r="J48">
        <v>535</v>
      </c>
      <c r="K48">
        <v>876</v>
      </c>
    </row>
    <row r="49" spans="1:11" s="140" customFormat="1" x14ac:dyDescent="0.3">
      <c r="A49" s="140" t="s">
        <v>121</v>
      </c>
      <c r="B49">
        <v>2554</v>
      </c>
      <c r="C49">
        <v>2656</v>
      </c>
      <c r="D49">
        <v>2509</v>
      </c>
      <c r="E49">
        <v>2558</v>
      </c>
      <c r="F49">
        <v>2610</v>
      </c>
      <c r="G49">
        <v>2591</v>
      </c>
      <c r="H49">
        <v>2984</v>
      </c>
      <c r="I49">
        <v>2464</v>
      </c>
      <c r="J49">
        <v>2756</v>
      </c>
      <c r="K49">
        <v>2685</v>
      </c>
    </row>
    <row r="50" spans="1:11" x14ac:dyDescent="0.3">
      <c r="A50" s="140" t="s">
        <v>115</v>
      </c>
      <c r="B50">
        <v>3664</v>
      </c>
      <c r="C50">
        <v>3795</v>
      </c>
      <c r="D50">
        <v>3665</v>
      </c>
      <c r="E50">
        <v>3535</v>
      </c>
      <c r="F50">
        <v>3742</v>
      </c>
      <c r="G50">
        <v>3787</v>
      </c>
      <c r="H50">
        <v>3695</v>
      </c>
      <c r="I50">
        <v>3618</v>
      </c>
      <c r="J50">
        <v>3717</v>
      </c>
      <c r="K50">
        <v>3726</v>
      </c>
    </row>
    <row r="51" spans="1:11" x14ac:dyDescent="0.3">
      <c r="A51" s="140"/>
    </row>
    <row r="52" spans="1:11" x14ac:dyDescent="0.3">
      <c r="A52" s="140"/>
    </row>
    <row r="53" spans="1:11" x14ac:dyDescent="0.3">
      <c r="A53" s="140"/>
    </row>
    <row r="54" spans="1:11" x14ac:dyDescent="0.3">
      <c r="A54" s="140"/>
    </row>
    <row r="55" spans="1:11" x14ac:dyDescent="0.3">
      <c r="A55" s="139" t="s">
        <v>177</v>
      </c>
    </row>
    <row r="56" spans="1:11" s="150" customFormat="1" x14ac:dyDescent="0.3">
      <c r="A56" s="149" t="s">
        <v>167</v>
      </c>
      <c r="B56" s="137">
        <v>42460</v>
      </c>
      <c r="C56" s="137">
        <v>42825</v>
      </c>
      <c r="D56" s="137">
        <v>43190</v>
      </c>
      <c r="E56" s="137">
        <v>43555</v>
      </c>
      <c r="F56" s="137">
        <v>43921</v>
      </c>
      <c r="G56" s="137">
        <v>44286</v>
      </c>
      <c r="H56" s="137">
        <v>44651</v>
      </c>
      <c r="I56" s="137">
        <v>45016</v>
      </c>
      <c r="J56" s="137">
        <v>45382</v>
      </c>
      <c r="K56" s="137">
        <v>45747</v>
      </c>
    </row>
    <row r="57" spans="1:11" x14ac:dyDescent="0.3">
      <c r="A57" s="140" t="s">
        <v>137</v>
      </c>
      <c r="B57">
        <v>216</v>
      </c>
      <c r="C57">
        <v>216</v>
      </c>
      <c r="D57">
        <v>216</v>
      </c>
      <c r="E57">
        <v>216</v>
      </c>
      <c r="F57">
        <v>216</v>
      </c>
      <c r="G57">
        <v>235</v>
      </c>
      <c r="H57">
        <v>235</v>
      </c>
      <c r="I57">
        <v>235</v>
      </c>
      <c r="J57">
        <v>235</v>
      </c>
      <c r="K57">
        <v>235</v>
      </c>
    </row>
    <row r="58" spans="1:11" x14ac:dyDescent="0.3">
      <c r="A58" s="140" t="s">
        <v>138</v>
      </c>
      <c r="B58">
        <v>6357</v>
      </c>
      <c r="C58">
        <v>6528</v>
      </c>
      <c r="D58">
        <v>7065</v>
      </c>
      <c r="E58">
        <v>7651</v>
      </c>
      <c r="F58">
        <v>8013</v>
      </c>
      <c r="G58">
        <v>47439</v>
      </c>
      <c r="H58">
        <v>48826</v>
      </c>
      <c r="I58">
        <v>50069</v>
      </c>
      <c r="J58">
        <v>50983</v>
      </c>
      <c r="K58">
        <v>49167</v>
      </c>
    </row>
    <row r="59" spans="1:11" x14ac:dyDescent="0.3">
      <c r="A59" s="140" t="s">
        <v>139</v>
      </c>
      <c r="B59">
        <v>177</v>
      </c>
      <c r="C59">
        <v>277</v>
      </c>
      <c r="E59">
        <v>99</v>
      </c>
      <c r="H59">
        <v>1043</v>
      </c>
      <c r="I59">
        <v>1219</v>
      </c>
      <c r="J59">
        <v>1484</v>
      </c>
      <c r="K59">
        <v>1648</v>
      </c>
    </row>
    <row r="60" spans="1:11" x14ac:dyDescent="0.3">
      <c r="A60" s="140" t="s">
        <v>140</v>
      </c>
      <c r="B60">
        <v>8043</v>
      </c>
      <c r="C60">
        <v>8685</v>
      </c>
      <c r="D60">
        <v>10581</v>
      </c>
      <c r="E60">
        <v>10663</v>
      </c>
      <c r="F60">
        <v>11924</v>
      </c>
      <c r="G60">
        <v>21066</v>
      </c>
      <c r="H60">
        <v>20402</v>
      </c>
      <c r="I60">
        <v>21554</v>
      </c>
      <c r="J60">
        <v>25787</v>
      </c>
      <c r="K60">
        <v>28813</v>
      </c>
    </row>
    <row r="61" spans="1:11" s="139" customFormat="1" x14ac:dyDescent="0.3">
      <c r="A61" s="139" t="s">
        <v>2</v>
      </c>
      <c r="B61">
        <v>14793</v>
      </c>
      <c r="C61">
        <v>15706</v>
      </c>
      <c r="D61">
        <v>17862</v>
      </c>
      <c r="E61">
        <v>18629</v>
      </c>
      <c r="F61">
        <v>20153</v>
      </c>
      <c r="G61">
        <v>68740</v>
      </c>
      <c r="H61">
        <v>70506</v>
      </c>
      <c r="I61">
        <v>73077</v>
      </c>
      <c r="J61">
        <v>78489</v>
      </c>
      <c r="K61">
        <v>79863</v>
      </c>
    </row>
    <row r="62" spans="1:11" x14ac:dyDescent="0.3">
      <c r="A62" s="140" t="s">
        <v>141</v>
      </c>
      <c r="B62">
        <v>3258</v>
      </c>
      <c r="C62">
        <v>4419</v>
      </c>
      <c r="D62">
        <v>4528</v>
      </c>
      <c r="E62">
        <v>4715</v>
      </c>
      <c r="F62">
        <v>5479</v>
      </c>
      <c r="G62">
        <v>51443</v>
      </c>
      <c r="H62">
        <v>51473</v>
      </c>
      <c r="I62">
        <v>52678</v>
      </c>
      <c r="J62">
        <v>53744</v>
      </c>
      <c r="K62">
        <v>54335</v>
      </c>
    </row>
    <row r="63" spans="1:11" x14ac:dyDescent="0.3">
      <c r="A63" s="140" t="s">
        <v>142</v>
      </c>
      <c r="B63">
        <v>408</v>
      </c>
      <c r="C63">
        <v>229</v>
      </c>
      <c r="D63">
        <v>461</v>
      </c>
      <c r="E63">
        <v>406</v>
      </c>
      <c r="F63">
        <v>597</v>
      </c>
      <c r="G63">
        <v>745</v>
      </c>
      <c r="H63">
        <v>1313</v>
      </c>
      <c r="I63">
        <v>1132</v>
      </c>
      <c r="J63">
        <v>1025</v>
      </c>
      <c r="K63">
        <v>1009</v>
      </c>
    </row>
    <row r="64" spans="1:11" x14ac:dyDescent="0.3">
      <c r="A64" s="140" t="s">
        <v>143</v>
      </c>
      <c r="B64">
        <v>2592</v>
      </c>
      <c r="C64">
        <v>3794</v>
      </c>
      <c r="D64">
        <v>2873</v>
      </c>
      <c r="E64">
        <v>2716</v>
      </c>
      <c r="F64">
        <v>1255</v>
      </c>
      <c r="G64">
        <v>2709</v>
      </c>
      <c r="H64">
        <v>3521</v>
      </c>
      <c r="I64">
        <v>2882</v>
      </c>
      <c r="J64">
        <v>4625</v>
      </c>
      <c r="K64">
        <v>3810</v>
      </c>
    </row>
    <row r="65" spans="1:11" x14ac:dyDescent="0.3">
      <c r="A65" s="140" t="s">
        <v>144</v>
      </c>
      <c r="B65">
        <v>8535</v>
      </c>
      <c r="C65">
        <v>7264</v>
      </c>
      <c r="D65">
        <v>10000</v>
      </c>
      <c r="E65">
        <v>10792</v>
      </c>
      <c r="F65">
        <v>12822</v>
      </c>
      <c r="G65">
        <v>13843</v>
      </c>
      <c r="H65">
        <v>14199</v>
      </c>
      <c r="I65">
        <v>16385</v>
      </c>
      <c r="J65">
        <v>19095</v>
      </c>
      <c r="K65">
        <v>20709</v>
      </c>
    </row>
    <row r="66" spans="1:11" s="139" customFormat="1" x14ac:dyDescent="0.3">
      <c r="A66" s="139" t="s">
        <v>2</v>
      </c>
      <c r="B66">
        <v>14793</v>
      </c>
      <c r="C66">
        <v>15706</v>
      </c>
      <c r="D66">
        <v>17862</v>
      </c>
      <c r="E66">
        <v>18629</v>
      </c>
      <c r="F66">
        <v>20153</v>
      </c>
      <c r="G66">
        <v>68740</v>
      </c>
      <c r="H66">
        <v>70506</v>
      </c>
      <c r="I66">
        <v>73077</v>
      </c>
      <c r="J66">
        <v>78489</v>
      </c>
      <c r="K66">
        <v>79863</v>
      </c>
    </row>
    <row r="67" spans="1:11" s="140" customFormat="1" x14ac:dyDescent="0.3">
      <c r="A67" s="140" t="s">
        <v>178</v>
      </c>
      <c r="B67">
        <v>1264</v>
      </c>
      <c r="C67">
        <v>1085</v>
      </c>
      <c r="D67">
        <v>1310</v>
      </c>
      <c r="E67">
        <v>1816</v>
      </c>
      <c r="F67">
        <v>1149</v>
      </c>
      <c r="G67">
        <v>1758</v>
      </c>
      <c r="H67">
        <v>2236</v>
      </c>
      <c r="I67">
        <v>3079</v>
      </c>
      <c r="J67">
        <v>2997</v>
      </c>
      <c r="K67">
        <v>3819</v>
      </c>
    </row>
    <row r="68" spans="1:11" x14ac:dyDescent="0.3">
      <c r="A68" s="140" t="s">
        <v>147</v>
      </c>
      <c r="B68">
        <v>2726</v>
      </c>
      <c r="C68">
        <v>2541</v>
      </c>
      <c r="D68">
        <v>2513</v>
      </c>
      <c r="E68">
        <v>2574</v>
      </c>
      <c r="F68">
        <v>2767</v>
      </c>
      <c r="G68">
        <v>3579</v>
      </c>
      <c r="H68">
        <v>4096</v>
      </c>
      <c r="I68">
        <v>4251</v>
      </c>
      <c r="J68">
        <v>4022</v>
      </c>
      <c r="K68">
        <v>4415</v>
      </c>
    </row>
    <row r="69" spans="1:11" x14ac:dyDescent="0.3">
      <c r="A69" s="148" t="s">
        <v>179</v>
      </c>
      <c r="B69">
        <v>3009</v>
      </c>
      <c r="C69">
        <v>1828</v>
      </c>
      <c r="D69">
        <v>3485</v>
      </c>
      <c r="E69">
        <v>3757</v>
      </c>
      <c r="F69">
        <v>5113</v>
      </c>
      <c r="G69">
        <v>4471</v>
      </c>
      <c r="H69">
        <v>3846</v>
      </c>
      <c r="I69">
        <v>4678</v>
      </c>
      <c r="J69">
        <v>7559</v>
      </c>
      <c r="K69">
        <v>7554</v>
      </c>
    </row>
    <row r="70" spans="1:11" x14ac:dyDescent="0.3">
      <c r="A70" s="148" t="s">
        <v>180</v>
      </c>
      <c r="B70">
        <v>2163936971</v>
      </c>
      <c r="C70">
        <v>2164349639</v>
      </c>
      <c r="D70">
        <v>2164528777</v>
      </c>
      <c r="E70">
        <v>2164704405</v>
      </c>
      <c r="F70">
        <v>2164704405</v>
      </c>
      <c r="G70">
        <v>2349567819</v>
      </c>
      <c r="H70">
        <v>2349591262</v>
      </c>
      <c r="I70">
        <v>2349591262</v>
      </c>
      <c r="J70">
        <v>2349591262</v>
      </c>
      <c r="K70">
        <v>2349591262</v>
      </c>
    </row>
    <row r="71" spans="1:11" x14ac:dyDescent="0.3">
      <c r="A71" s="148" t="s">
        <v>181</v>
      </c>
    </row>
    <row r="72" spans="1:11" x14ac:dyDescent="0.3">
      <c r="A72" s="148" t="s">
        <v>182</v>
      </c>
      <c r="B72">
        <v>1</v>
      </c>
      <c r="C72">
        <v>1</v>
      </c>
      <c r="D72">
        <v>1</v>
      </c>
      <c r="E72">
        <v>1</v>
      </c>
      <c r="F72">
        <v>1</v>
      </c>
      <c r="G72">
        <v>1</v>
      </c>
      <c r="H72">
        <v>1</v>
      </c>
      <c r="I72">
        <v>1</v>
      </c>
      <c r="J72">
        <v>1</v>
      </c>
      <c r="K72">
        <v>1</v>
      </c>
    </row>
    <row r="74" spans="1:11" x14ac:dyDescent="0.3">
      <c r="A74" s="140"/>
    </row>
    <row r="75" spans="1:11" x14ac:dyDescent="0.3">
      <c r="A75" s="140"/>
    </row>
    <row r="76" spans="1:11" x14ac:dyDescent="0.3">
      <c r="A76" s="140"/>
    </row>
    <row r="77" spans="1:11" x14ac:dyDescent="0.3">
      <c r="A77" s="140"/>
    </row>
    <row r="78" spans="1:11" x14ac:dyDescent="0.3">
      <c r="A78" s="140"/>
    </row>
    <row r="79" spans="1:11" x14ac:dyDescent="0.3">
      <c r="A79" s="140"/>
    </row>
    <row r="80" spans="1:11" x14ac:dyDescent="0.3">
      <c r="A80" s="139" t="s">
        <v>183</v>
      </c>
    </row>
    <row r="81" spans="1:11" s="150" customFormat="1" x14ac:dyDescent="0.3">
      <c r="A81" s="149" t="s">
        <v>167</v>
      </c>
      <c r="B81" s="137">
        <v>42460</v>
      </c>
      <c r="C81" s="137">
        <v>42825</v>
      </c>
      <c r="D81" s="137">
        <v>43190</v>
      </c>
      <c r="E81" s="137">
        <v>43555</v>
      </c>
      <c r="F81" s="137">
        <v>43921</v>
      </c>
      <c r="G81" s="137">
        <v>44286</v>
      </c>
      <c r="H81" s="137">
        <v>44651</v>
      </c>
      <c r="I81" s="137">
        <v>45016</v>
      </c>
      <c r="J81" s="137">
        <v>45382</v>
      </c>
      <c r="K81" s="137">
        <v>45747</v>
      </c>
    </row>
    <row r="82" spans="1:11" s="139" customFormat="1" x14ac:dyDescent="0.3">
      <c r="A82" s="140" t="s">
        <v>152</v>
      </c>
      <c r="B82">
        <v>4171</v>
      </c>
      <c r="C82">
        <v>5185</v>
      </c>
      <c r="D82">
        <v>6059</v>
      </c>
      <c r="E82">
        <v>5800</v>
      </c>
      <c r="F82">
        <v>7623</v>
      </c>
      <c r="G82">
        <v>9163</v>
      </c>
      <c r="H82">
        <v>9048</v>
      </c>
      <c r="I82">
        <v>9991</v>
      </c>
      <c r="J82">
        <v>15469</v>
      </c>
      <c r="K82">
        <v>11886</v>
      </c>
    </row>
    <row r="83" spans="1:11" s="140" customFormat="1" x14ac:dyDescent="0.3">
      <c r="A83" s="140" t="s">
        <v>153</v>
      </c>
      <c r="B83">
        <v>-282</v>
      </c>
      <c r="C83">
        <v>-1173</v>
      </c>
      <c r="D83">
        <v>-1063</v>
      </c>
      <c r="E83">
        <v>-438</v>
      </c>
      <c r="F83">
        <v>1791</v>
      </c>
      <c r="G83">
        <v>-1228</v>
      </c>
      <c r="H83">
        <v>-1728</v>
      </c>
      <c r="I83">
        <v>-1484</v>
      </c>
      <c r="J83">
        <v>-5324</v>
      </c>
      <c r="K83">
        <v>6473</v>
      </c>
    </row>
    <row r="84" spans="1:11" s="140" customFormat="1" x14ac:dyDescent="0.3">
      <c r="A84" s="140" t="s">
        <v>154</v>
      </c>
      <c r="B84">
        <v>-3864</v>
      </c>
      <c r="C84">
        <v>-4214</v>
      </c>
      <c r="D84">
        <v>-4975</v>
      </c>
      <c r="E84">
        <v>-5390</v>
      </c>
      <c r="F84">
        <v>-6819</v>
      </c>
      <c r="G84">
        <v>-9309</v>
      </c>
      <c r="H84">
        <v>-8015</v>
      </c>
      <c r="I84">
        <v>-8953</v>
      </c>
      <c r="J84">
        <v>-10034</v>
      </c>
      <c r="K84">
        <v>-13101</v>
      </c>
    </row>
    <row r="85" spans="1:11" s="139" customFormat="1" x14ac:dyDescent="0.3">
      <c r="A85" s="140" t="s">
        <v>155</v>
      </c>
      <c r="B85">
        <v>25</v>
      </c>
      <c r="C85">
        <v>-202</v>
      </c>
      <c r="D85">
        <v>21</v>
      </c>
      <c r="E85">
        <v>-28</v>
      </c>
      <c r="F85">
        <v>2595</v>
      </c>
      <c r="G85">
        <v>-1374</v>
      </c>
      <c r="H85">
        <v>-695</v>
      </c>
      <c r="I85">
        <v>-446</v>
      </c>
      <c r="J85">
        <v>111</v>
      </c>
      <c r="K85">
        <v>5258</v>
      </c>
    </row>
    <row r="86" spans="1:11" x14ac:dyDescent="0.3">
      <c r="A86" s="140"/>
    </row>
    <row r="87" spans="1:11" x14ac:dyDescent="0.3">
      <c r="A87" s="140"/>
    </row>
    <row r="88" spans="1:11" x14ac:dyDescent="0.3">
      <c r="A88" s="140"/>
    </row>
    <row r="89" spans="1:11" x14ac:dyDescent="0.3">
      <c r="A89" s="140"/>
    </row>
    <row r="90" spans="1:11" s="139" customFormat="1" x14ac:dyDescent="0.3">
      <c r="A90" s="139" t="s">
        <v>184</v>
      </c>
      <c r="B90">
        <v>832.17</v>
      </c>
      <c r="C90">
        <v>872.61</v>
      </c>
      <c r="D90">
        <v>1276.1099999999999</v>
      </c>
      <c r="E90">
        <v>1633.53</v>
      </c>
      <c r="F90">
        <v>2199.83</v>
      </c>
      <c r="G90">
        <v>2327.12</v>
      </c>
      <c r="H90">
        <v>1960.7</v>
      </c>
      <c r="I90">
        <v>2450.44</v>
      </c>
      <c r="J90">
        <v>2167.14</v>
      </c>
      <c r="K90">
        <v>2161.88</v>
      </c>
    </row>
    <row r="92" spans="1:11" s="139" customFormat="1" x14ac:dyDescent="0.3">
      <c r="A92" s="139" t="s">
        <v>185</v>
      </c>
    </row>
    <row r="93" spans="1:11" x14ac:dyDescent="0.3">
      <c r="A93" s="148" t="s">
        <v>186</v>
      </c>
      <c r="B93" s="151">
        <v>216.39</v>
      </c>
      <c r="C93" s="151">
        <v>216.43</v>
      </c>
      <c r="D93" s="151">
        <v>216.45</v>
      </c>
      <c r="E93" s="151">
        <v>216.47</v>
      </c>
      <c r="F93" s="151">
        <v>216.48</v>
      </c>
      <c r="G93" s="151">
        <v>234.96</v>
      </c>
      <c r="H93" s="151">
        <v>234.96</v>
      </c>
      <c r="I93" s="151">
        <v>234.96</v>
      </c>
      <c r="J93" s="151">
        <v>234.96</v>
      </c>
      <c r="K93" s="151">
        <v>234.96</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AFB69AA2-4B7C-488F-A94B-4098FB4E765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Cover</vt:lpstr>
      <vt:lpstr>Trading Comparables</vt:lpstr>
      <vt:lpstr>WACC</vt:lpstr>
      <vt:lpstr>DCF</vt:lpstr>
      <vt:lpstr>Profit &amp; Loss</vt:lpstr>
      <vt:lpstr>Quarters</vt:lpstr>
      <vt:lpstr>Balance Sheet</vt:lpstr>
      <vt:lpstr>Cash Flow</vt:lpstr>
      <vt:lpstr>Data Sheet</vt:lpstr>
      <vt:lpstr>tgr</vt:lpstr>
      <vt:lpstr>wacc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Chon</dc:creator>
  <cp:lastModifiedBy>Shivam Raj</cp:lastModifiedBy>
  <dcterms:created xsi:type="dcterms:W3CDTF">2025-04-16T18:31:01Z</dcterms:created>
  <dcterms:modified xsi:type="dcterms:W3CDTF">2026-02-05T18:59:46Z</dcterms:modified>
</cp:coreProperties>
</file>