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E57284CF-D949-49A2-9FD5-5636A65066C9}" xr6:coauthVersionLast="47" xr6:coauthVersionMax="47" xr10:uidLastSave="{00000000-0000-0000-0000-000000000000}"/>
  <bookViews>
    <workbookView xWindow="-108" yWindow="-108" windowWidth="23256" windowHeight="12456" firstSheet="2" activeTab="4" xr2:uid="{212A9E1F-4F5E-470A-B352-49D9FF5C0FE7}"/>
  </bookViews>
  <sheets>
    <sheet name="Cover" sheetId="1" r:id="rId1"/>
    <sheet name="Trading Comparables" sheetId="21" r:id="rId2"/>
    <sheet name="WACC" sheetId="3" r:id="rId3"/>
    <sheet name="DCF" sheetId="8" r:id="rId4"/>
    <sheet name="Shares" sheetId="4" r:id="rId5"/>
    <sheet name="IS - Estimates" sheetId="16" r:id="rId6"/>
    <sheet name="IS - Historicals" sheetId="20" r:id="rId7"/>
    <sheet name="CFS - Estimates" sheetId="17" r:id="rId8"/>
    <sheet name="CFS  - Historicals" sheetId="18" r:id="rId9"/>
  </sheets>
  <externalReferences>
    <externalReference r:id="rId10"/>
    <externalReference r:id="rId11"/>
    <externalReference r:id="rId12"/>
  </externalReferences>
  <definedNames>
    <definedName name="_bdm.2ce96c87f19a450da146a0c4aa3f4f37.edm" hidden="1">#REF!</definedName>
    <definedName name="_xlnm.Database">[1]Database!$B$11:$XFD$1048576</definedName>
    <definedName name="dr">[2]DCF!$E$18</definedName>
    <definedName name="tg">[2]DCF!$E$19</definedName>
    <definedName name="tgr" localSheetId="4">[3]DCF!$E$19</definedName>
    <definedName name="tgr">DCF!$E$19</definedName>
    <definedName name="wacc" localSheetId="4">[3]DCF!$E$18</definedName>
    <definedName name="wacc">DCF!$E$18</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1" l="1"/>
  <c r="D6" i="1"/>
  <c r="J9" i="3"/>
  <c r="H10" i="3" a="1"/>
  <c r="H10" i="3" s="1"/>
  <c r="I9" i="3"/>
  <c r="G9" i="3"/>
  <c r="D16" i="3" a="1"/>
  <c r="D16" i="3" s="1"/>
  <c r="C16" i="3" a="1"/>
  <c r="C16" i="3" s="1"/>
  <c r="D15" i="3" a="1"/>
  <c r="D15" i="3" s="1"/>
  <c r="C15" i="3" a="1"/>
  <c r="C15" i="3" s="1"/>
  <c r="D14" i="3" a="1"/>
  <c r="D14" i="3" s="1"/>
  <c r="C14" i="3" a="1"/>
  <c r="C14" i="3" s="1"/>
  <c r="D13" i="3" a="1"/>
  <c r="D13" i="3" s="1"/>
  <c r="C13" i="3" a="1"/>
  <c r="C13" i="3" s="1"/>
  <c r="D12" i="3" a="1"/>
  <c r="D12" i="3" s="1"/>
  <c r="C12" i="3" a="1"/>
  <c r="C12" i="3" s="1"/>
  <c r="D10" i="3" a="1"/>
  <c r="D10" i="3" s="1"/>
  <c r="C10" i="3" a="1"/>
  <c r="C10" i="3" s="1"/>
  <c r="X21" i="21"/>
  <c r="Y21" i="21"/>
  <c r="Z21" i="21"/>
  <c r="AA21" i="21"/>
  <c r="R23" i="21"/>
  <c r="S23" i="21"/>
  <c r="T23" i="21"/>
  <c r="U23" i="21"/>
  <c r="V23" i="21"/>
  <c r="X23" i="21"/>
  <c r="Y23" i="21"/>
  <c r="Z23" i="21"/>
  <c r="AA23" i="21"/>
  <c r="R24" i="21"/>
  <c r="S24" i="21"/>
  <c r="T24" i="21"/>
  <c r="U24" i="21"/>
  <c r="V24" i="21"/>
  <c r="X24" i="21"/>
  <c r="Y24" i="21"/>
  <c r="Z24" i="21"/>
  <c r="AA24" i="21"/>
  <c r="Q24" i="21"/>
  <c r="Q23" i="21"/>
  <c r="Q19" i="21"/>
  <c r="R19" i="21"/>
  <c r="S19" i="21"/>
  <c r="T19" i="21"/>
  <c r="U19" i="21"/>
  <c r="V19" i="21"/>
  <c r="Q20" i="21"/>
  <c r="R20" i="21"/>
  <c r="S20" i="21"/>
  <c r="T20" i="21"/>
  <c r="U20" i="21"/>
  <c r="V20" i="21"/>
  <c r="Q21" i="21"/>
  <c r="R21" i="21"/>
  <c r="S21" i="21"/>
  <c r="T21" i="21"/>
  <c r="U21" i="21"/>
  <c r="V21" i="21"/>
  <c r="X13" i="21"/>
  <c r="Y13" i="21"/>
  <c r="Z13" i="21"/>
  <c r="AA13" i="21"/>
  <c r="X14" i="21"/>
  <c r="Y14" i="21"/>
  <c r="Z14" i="21"/>
  <c r="AA14" i="21"/>
  <c r="X15" i="21"/>
  <c r="Y15" i="21"/>
  <c r="Z15" i="21"/>
  <c r="AA15" i="21"/>
  <c r="X16" i="21"/>
  <c r="Y16" i="21"/>
  <c r="Z16" i="21"/>
  <c r="AA16" i="21"/>
  <c r="X17" i="21"/>
  <c r="Y17" i="21"/>
  <c r="Z17" i="21"/>
  <c r="AA17" i="21"/>
  <c r="X18" i="21"/>
  <c r="Y18" i="21"/>
  <c r="Z18" i="21"/>
  <c r="AA18" i="21"/>
  <c r="X19" i="21"/>
  <c r="Y19" i="21"/>
  <c r="Z19" i="21"/>
  <c r="AA19" i="21"/>
  <c r="X20" i="21"/>
  <c r="Y20" i="21"/>
  <c r="Z20" i="21"/>
  <c r="AA20" i="21"/>
  <c r="G21" i="21" a="1"/>
  <c r="G21" i="21" s="1"/>
  <c r="AB21" i="21" s="1"/>
  <c r="E21" i="21" a="1"/>
  <c r="E21" i="21" s="1"/>
  <c r="D21" i="21" a="1"/>
  <c r="D21" i="21" s="1"/>
  <c r="C21" i="21" a="1"/>
  <c r="C21" i="21" s="1"/>
  <c r="H21" i="21" s="1"/>
  <c r="G20" i="21" a="1"/>
  <c r="G20" i="21" s="1"/>
  <c r="AB20" i="21" s="1"/>
  <c r="E20" i="21" a="1"/>
  <c r="E20" i="21" s="1"/>
  <c r="D20" i="21" a="1"/>
  <c r="D20" i="21" s="1"/>
  <c r="C20" i="21" a="1"/>
  <c r="C20" i="21" s="1"/>
  <c r="H20" i="21" s="1"/>
  <c r="G19" i="21" a="1"/>
  <c r="G19" i="21" s="1"/>
  <c r="AB19" i="21" s="1"/>
  <c r="E19" i="21" a="1"/>
  <c r="E19" i="21" s="1"/>
  <c r="D19" i="21" a="1"/>
  <c r="D19" i="21" s="1"/>
  <c r="C19" i="21" a="1"/>
  <c r="C19" i="21" s="1"/>
  <c r="H19" i="21" s="1"/>
  <c r="V18" i="21"/>
  <c r="U18" i="21"/>
  <c r="T18" i="21"/>
  <c r="S18" i="21"/>
  <c r="R18" i="21"/>
  <c r="Q18" i="21"/>
  <c r="G18" i="21" a="1"/>
  <c r="G18" i="21" s="1"/>
  <c r="AB18" i="21" s="1"/>
  <c r="E18" i="21" a="1"/>
  <c r="E18" i="21" s="1"/>
  <c r="D18" i="21" a="1"/>
  <c r="D18" i="21" s="1"/>
  <c r="C18" i="21" a="1"/>
  <c r="C18" i="21" s="1"/>
  <c r="H18" i="21" s="1"/>
  <c r="V17" i="21"/>
  <c r="U17" i="21"/>
  <c r="T17" i="21"/>
  <c r="S17" i="21"/>
  <c r="R17" i="21"/>
  <c r="Q17" i="21"/>
  <c r="G17" i="21" a="1"/>
  <c r="G17" i="21" s="1"/>
  <c r="AB17" i="21" s="1"/>
  <c r="E17" i="21" a="1"/>
  <c r="E17" i="21" s="1"/>
  <c r="D17" i="21" a="1"/>
  <c r="D17" i="21" s="1"/>
  <c r="C17" i="21" a="1"/>
  <c r="C17" i="21" s="1"/>
  <c r="H17" i="21" s="1"/>
  <c r="V16" i="21"/>
  <c r="U16" i="21"/>
  <c r="T16" i="21"/>
  <c r="S16" i="21"/>
  <c r="R16" i="21"/>
  <c r="Q16" i="21"/>
  <c r="G16" i="21" a="1"/>
  <c r="G16" i="21" s="1"/>
  <c r="AC16" i="21" s="1"/>
  <c r="E16" i="21" a="1"/>
  <c r="E16" i="21" s="1"/>
  <c r="D16" i="21" a="1"/>
  <c r="D16" i="21" s="1"/>
  <c r="C16" i="21" a="1"/>
  <c r="C16" i="21" s="1"/>
  <c r="H16" i="21" s="1"/>
  <c r="V15" i="21"/>
  <c r="U15" i="21"/>
  <c r="T15" i="21"/>
  <c r="S15" i="21"/>
  <c r="R15" i="21"/>
  <c r="Q15" i="21"/>
  <c r="G15" i="21" a="1"/>
  <c r="G15" i="21" s="1"/>
  <c r="AB15" i="21" s="1"/>
  <c r="E15" i="21" a="1"/>
  <c r="E15" i="21" s="1"/>
  <c r="D15" i="21" a="1"/>
  <c r="D15" i="21" s="1"/>
  <c r="C15" i="21" a="1"/>
  <c r="C15" i="21" s="1"/>
  <c r="H15" i="21" s="1"/>
  <c r="V14" i="21"/>
  <c r="U14" i="21"/>
  <c r="T14" i="21"/>
  <c r="S14" i="21"/>
  <c r="R14" i="21"/>
  <c r="Q14" i="21"/>
  <c r="G14" i="21" a="1"/>
  <c r="G14" i="21" s="1"/>
  <c r="AB14" i="21" s="1"/>
  <c r="E14" i="21" a="1"/>
  <c r="E14" i="21" s="1"/>
  <c r="D14" i="21" a="1"/>
  <c r="D14" i="21" s="1"/>
  <c r="C14" i="21" a="1"/>
  <c r="C14" i="21" s="1"/>
  <c r="H14" i="21" s="1"/>
  <c r="V13" i="21"/>
  <c r="U13" i="21"/>
  <c r="T13" i="21"/>
  <c r="S13" i="21"/>
  <c r="R13" i="21"/>
  <c r="Q13" i="21"/>
  <c r="G13" i="21" a="1"/>
  <c r="G13" i="21" s="1"/>
  <c r="AB13" i="21" s="1"/>
  <c r="E13" i="21" a="1"/>
  <c r="E13" i="21" s="1"/>
  <c r="D13" i="21" a="1"/>
  <c r="D13" i="21" s="1"/>
  <c r="C13" i="21" a="1"/>
  <c r="C13" i="21" s="1"/>
  <c r="H13" i="21" s="1"/>
  <c r="AA12" i="21"/>
  <c r="Z12" i="21"/>
  <c r="Y12" i="21"/>
  <c r="X12" i="21"/>
  <c r="V12" i="21"/>
  <c r="U12" i="21"/>
  <c r="T12" i="21"/>
  <c r="S12" i="21"/>
  <c r="R12" i="21"/>
  <c r="Q12" i="21"/>
  <c r="G12" i="21" a="1"/>
  <c r="G12" i="21" s="1"/>
  <c r="E12" i="21" a="1"/>
  <c r="E12" i="21" s="1"/>
  <c r="D12" i="21" a="1"/>
  <c r="D12" i="21" s="1"/>
  <c r="C12" i="21" a="1"/>
  <c r="C12" i="21" s="1"/>
  <c r="H12" i="21" s="1"/>
  <c r="AA11" i="21"/>
  <c r="Z11" i="21"/>
  <c r="Y11" i="21"/>
  <c r="X11" i="21"/>
  <c r="V11" i="21"/>
  <c r="U11" i="21"/>
  <c r="T11" i="21"/>
  <c r="S11" i="21"/>
  <c r="R11" i="21"/>
  <c r="Q11" i="21"/>
  <c r="G11" i="21" a="1"/>
  <c r="G11" i="21" s="1"/>
  <c r="E11" i="21" a="1"/>
  <c r="E11" i="21" s="1"/>
  <c r="D11" i="21" a="1"/>
  <c r="D11" i="21" s="1"/>
  <c r="C11" i="21" a="1"/>
  <c r="C11" i="21" s="1"/>
  <c r="H11" i="21" s="1"/>
  <c r="AA9" i="21"/>
  <c r="Z9" i="21"/>
  <c r="Y9" i="21"/>
  <c r="X9" i="21"/>
  <c r="V9" i="21"/>
  <c r="U9" i="21"/>
  <c r="T9" i="21"/>
  <c r="S9" i="21"/>
  <c r="R9" i="21"/>
  <c r="Q9" i="21"/>
  <c r="G9" i="21" a="1"/>
  <c r="G9" i="21" s="1"/>
  <c r="E9" i="21" a="1"/>
  <c r="E9" i="21" s="1"/>
  <c r="D9" i="21" a="1"/>
  <c r="D9" i="21" s="1"/>
  <c r="C9" i="21" a="1"/>
  <c r="C9" i="21" s="1"/>
  <c r="H9" i="21" s="1"/>
  <c r="X7" i="21"/>
  <c r="Q7" i="21"/>
  <c r="L7" i="21"/>
  <c r="N7" i="21" s="1"/>
  <c r="J7" i="21"/>
  <c r="AB7" i="21" s="1"/>
  <c r="E2" i="21"/>
  <c r="AC21" i="21" l="1"/>
  <c r="AC20" i="21"/>
  <c r="AB16" i="21"/>
  <c r="AC17" i="21"/>
  <c r="AC13" i="21"/>
  <c r="AC18" i="21"/>
  <c r="AC14" i="21"/>
  <c r="AC19" i="21"/>
  <c r="AC15" i="21"/>
  <c r="AC9" i="21"/>
  <c r="AB9" i="21"/>
  <c r="Z7" i="21"/>
  <c r="K7" i="21"/>
  <c r="AC12" i="21"/>
  <c r="AB12" i="21"/>
  <c r="AC11" i="21"/>
  <c r="AB11" i="21"/>
  <c r="AC7" i="21"/>
  <c r="T7" i="21"/>
  <c r="V7" i="21" s="1"/>
  <c r="S7" i="21"/>
  <c r="U7" i="21" s="1"/>
  <c r="AB24" i="21" l="1"/>
  <c r="AB23" i="21"/>
  <c r="AC23" i="21"/>
  <c r="AC24" i="21"/>
  <c r="AA7" i="21"/>
  <c r="R7" i="21"/>
  <c r="Y7" i="21"/>
  <c r="M7" i="21"/>
  <c r="O7" i="21" s="1"/>
  <c r="H4" i="8" l="1"/>
  <c r="E6" i="4"/>
  <c r="P79" i="8"/>
  <c r="K72" i="8"/>
  <c r="L73" i="8" s="1"/>
  <c r="M73" i="8" s="1"/>
  <c r="N73" i="8" s="1"/>
  <c r="O73" i="8" s="1"/>
  <c r="P73" i="8" s="1"/>
  <c r="E19" i="8"/>
  <c r="J55" i="8"/>
  <c r="J56" i="8" s="1"/>
  <c r="I55" i="8"/>
  <c r="H55" i="8"/>
  <c r="H56" i="8" s="1"/>
  <c r="H49" i="8"/>
  <c r="G49" i="8"/>
  <c r="F49" i="8"/>
  <c r="E49" i="8"/>
  <c r="E50" i="8" s="1"/>
  <c r="J43" i="8"/>
  <c r="J44" i="8" s="1"/>
  <c r="I43" i="8"/>
  <c r="I44" i="8" s="1"/>
  <c r="H43" i="8"/>
  <c r="E43" i="8"/>
  <c r="F40" i="8"/>
  <c r="J38" i="8"/>
  <c r="J40" i="8" s="1"/>
  <c r="I38" i="8"/>
  <c r="I66" i="8" s="1"/>
  <c r="I67" i="8" s="1"/>
  <c r="H38" i="8"/>
  <c r="H66" i="8" s="1"/>
  <c r="H67" i="8" s="1"/>
  <c r="G38" i="8"/>
  <c r="G66" i="8" s="1"/>
  <c r="F38" i="8"/>
  <c r="F66" i="8" s="1"/>
  <c r="E38" i="8"/>
  <c r="E39" i="8" s="1"/>
  <c r="J35" i="8"/>
  <c r="J63" i="8" s="1"/>
  <c r="J64" i="8" s="1"/>
  <c r="I35" i="8"/>
  <c r="I36" i="8" s="1"/>
  <c r="H35" i="8"/>
  <c r="H63" i="8" s="1"/>
  <c r="H64" i="8" s="1"/>
  <c r="G35" i="8"/>
  <c r="G63" i="8" s="1"/>
  <c r="F35" i="8"/>
  <c r="F63" i="8" s="1"/>
  <c r="E35" i="8"/>
  <c r="E63" i="8" s="1"/>
  <c r="E64" i="8" s="1"/>
  <c r="F36" i="8"/>
  <c r="E36" i="8"/>
  <c r="J33" i="8"/>
  <c r="E33" i="8"/>
  <c r="J32" i="8"/>
  <c r="J60" i="8" s="1"/>
  <c r="J61" i="8" s="1"/>
  <c r="I32" i="8"/>
  <c r="I60" i="8" s="1"/>
  <c r="I61" i="8" s="1"/>
  <c r="H32" i="8"/>
  <c r="H60" i="8" s="1"/>
  <c r="H61" i="8" s="1"/>
  <c r="G32" i="8"/>
  <c r="G33" i="8" s="1"/>
  <c r="F32" i="8"/>
  <c r="F60" i="8" s="1"/>
  <c r="E32" i="8"/>
  <c r="E60" i="8" s="1"/>
  <c r="E61" i="8" s="1"/>
  <c r="J29" i="8"/>
  <c r="I29" i="8"/>
  <c r="H29" i="8"/>
  <c r="G29" i="8"/>
  <c r="F29" i="8"/>
  <c r="J28" i="8"/>
  <c r="I28" i="8"/>
  <c r="H28" i="8"/>
  <c r="G28" i="8"/>
  <c r="G55" i="8" s="1"/>
  <c r="G56" i="8" s="1"/>
  <c r="F28" i="8"/>
  <c r="F55" i="8" s="1"/>
  <c r="F56" i="8" s="1"/>
  <c r="E29" i="8"/>
  <c r="E28" i="8"/>
  <c r="E55" i="8" s="1"/>
  <c r="E56" i="8" s="1"/>
  <c r="O25" i="8"/>
  <c r="N25" i="8"/>
  <c r="N26" i="8" s="1"/>
  <c r="M25" i="8"/>
  <c r="M26" i="8" s="1"/>
  <c r="M52" i="8" s="1"/>
  <c r="L25" i="8"/>
  <c r="L26" i="8" s="1"/>
  <c r="L52" i="8" s="1"/>
  <c r="K25" i="8"/>
  <c r="K26" i="8" s="1"/>
  <c r="J25" i="8"/>
  <c r="J49" i="8" s="1"/>
  <c r="J50" i="8" s="1"/>
  <c r="I25" i="8"/>
  <c r="I49" i="8" s="1"/>
  <c r="I50" i="8" s="1"/>
  <c r="H25" i="8"/>
  <c r="G25" i="8"/>
  <c r="F25" i="8"/>
  <c r="F26" i="8" s="1"/>
  <c r="E25" i="8"/>
  <c r="E26" i="8" s="1"/>
  <c r="N23" i="8"/>
  <c r="M23" i="8"/>
  <c r="M46" i="8" s="1"/>
  <c r="F23" i="8"/>
  <c r="O22" i="8"/>
  <c r="O23" i="8" s="1"/>
  <c r="N22" i="8"/>
  <c r="M22" i="8"/>
  <c r="L22" i="8"/>
  <c r="K22" i="8"/>
  <c r="L23" i="8" s="1"/>
  <c r="L46" i="8" s="1"/>
  <c r="J22" i="8"/>
  <c r="J23" i="8" s="1"/>
  <c r="I22" i="8"/>
  <c r="I23" i="8" s="1"/>
  <c r="H22" i="8"/>
  <c r="H36" i="8" s="1"/>
  <c r="G22" i="8"/>
  <c r="G23" i="8" s="1"/>
  <c r="F22" i="8"/>
  <c r="F33" i="8" s="1"/>
  <c r="E22" i="8"/>
  <c r="F31" i="8"/>
  <c r="G31" i="8" s="1"/>
  <c r="H31" i="8" s="1"/>
  <c r="I31" i="8" s="1"/>
  <c r="J31" i="8" s="1"/>
  <c r="F21" i="8"/>
  <c r="G21" i="8" s="1"/>
  <c r="H21" i="8" s="1"/>
  <c r="I21" i="8" s="1"/>
  <c r="J21" i="8" s="1"/>
  <c r="K21" i="8" s="1"/>
  <c r="L21" i="8" s="1"/>
  <c r="M21" i="8" s="1"/>
  <c r="N21" i="8" s="1"/>
  <c r="O21" i="8" s="1"/>
  <c r="P80" i="8" l="1"/>
  <c r="L45" i="8"/>
  <c r="L44" i="8"/>
  <c r="L47" i="8"/>
  <c r="M51" i="8"/>
  <c r="N51" i="8" s="1"/>
  <c r="O51" i="8" s="1"/>
  <c r="P51" i="8" s="1"/>
  <c r="M50" i="8"/>
  <c r="N52" i="8"/>
  <c r="M53" i="8"/>
  <c r="N53" i="8" s="1"/>
  <c r="O53" i="8" s="1"/>
  <c r="P53" i="8" s="1"/>
  <c r="K56" i="8"/>
  <c r="N46" i="8"/>
  <c r="M44" i="8"/>
  <c r="M47" i="8"/>
  <c r="N47" i="8" s="1"/>
  <c r="O47" i="8" s="1"/>
  <c r="P47" i="8" s="1"/>
  <c r="M45" i="8"/>
  <c r="N45" i="8" s="1"/>
  <c r="O45" i="8" s="1"/>
  <c r="P45" i="8" s="1"/>
  <c r="K52" i="8"/>
  <c r="K50" i="8" s="1"/>
  <c r="K53" i="8"/>
  <c r="K51" i="8"/>
  <c r="L51" i="8"/>
  <c r="L50" i="8"/>
  <c r="L53" i="8"/>
  <c r="I56" i="8"/>
  <c r="K23" i="8"/>
  <c r="H33" i="8"/>
  <c r="J36" i="8"/>
  <c r="F43" i="8"/>
  <c r="F44" i="8" s="1"/>
  <c r="O26" i="8"/>
  <c r="G39" i="8"/>
  <c r="H39" i="8"/>
  <c r="J26" i="8"/>
  <c r="G36" i="8"/>
  <c r="I33" i="8"/>
  <c r="F39" i="8"/>
  <c r="G43" i="8"/>
  <c r="G67" i="8" s="1"/>
  <c r="J66" i="8"/>
  <c r="J67" i="8" s="1"/>
  <c r="G60" i="8"/>
  <c r="G61" i="8" s="1"/>
  <c r="I63" i="8"/>
  <c r="I64" i="8" s="1"/>
  <c r="G40" i="8"/>
  <c r="K73" i="8"/>
  <c r="G26" i="8"/>
  <c r="H26" i="8"/>
  <c r="H50" i="8"/>
  <c r="I26" i="8"/>
  <c r="I39" i="8"/>
  <c r="H40" i="8"/>
  <c r="E66" i="8"/>
  <c r="E67" i="8" s="1"/>
  <c r="H23" i="8"/>
  <c r="J39" i="8"/>
  <c r="I40" i="8"/>
  <c r="O46" i="8" l="1"/>
  <c r="N44" i="8"/>
  <c r="N50" i="8"/>
  <c r="O52" i="8"/>
  <c r="L56" i="8"/>
  <c r="M56" i="8" s="1"/>
  <c r="N56" i="8" s="1"/>
  <c r="O56" i="8" s="1"/>
  <c r="P56" i="8" s="1"/>
  <c r="F64" i="8"/>
  <c r="K64" i="8" s="1"/>
  <c r="F61" i="8"/>
  <c r="K61" i="8" s="1"/>
  <c r="L61" i="8" s="1"/>
  <c r="M61" i="8" s="1"/>
  <c r="N61" i="8" s="1"/>
  <c r="O61" i="8" s="1"/>
  <c r="P61" i="8" s="1"/>
  <c r="F50" i="8"/>
  <c r="G50" i="8"/>
  <c r="G44" i="8"/>
  <c r="K47" i="8"/>
  <c r="K46" i="8"/>
  <c r="K44" i="8" s="1"/>
  <c r="K43" i="8" s="1"/>
  <c r="K45" i="8"/>
  <c r="H44" i="8"/>
  <c r="G64" i="8"/>
  <c r="F67" i="8"/>
  <c r="K67" i="8" s="1"/>
  <c r="L64" i="8" l="1"/>
  <c r="K63" i="8"/>
  <c r="K60" i="8"/>
  <c r="L43" i="8"/>
  <c r="P52" i="8"/>
  <c r="P50" i="8" s="1"/>
  <c r="O50" i="8"/>
  <c r="L67" i="8"/>
  <c r="K66" i="8"/>
  <c r="P46" i="8"/>
  <c r="P44" i="8" s="1"/>
  <c r="O44" i="8"/>
  <c r="K49" i="8"/>
  <c r="K55" i="8" s="1"/>
  <c r="K58" i="8" s="1"/>
  <c r="M67" i="8" l="1"/>
  <c r="L66" i="8"/>
  <c r="L60" i="8"/>
  <c r="M43" i="8"/>
  <c r="L49" i="8"/>
  <c r="L55" i="8" s="1"/>
  <c r="L58" i="8" s="1"/>
  <c r="K69" i="8"/>
  <c r="M64" i="8"/>
  <c r="L63" i="8"/>
  <c r="L69" i="8" l="1"/>
  <c r="M60" i="8"/>
  <c r="M49" i="8"/>
  <c r="M55" i="8" s="1"/>
  <c r="M58" i="8" s="1"/>
  <c r="N43" i="8"/>
  <c r="N64" i="8"/>
  <c r="M63" i="8"/>
  <c r="N67" i="8"/>
  <c r="M66" i="8"/>
  <c r="O67" i="8" l="1"/>
  <c r="N66" i="8"/>
  <c r="O64" i="8"/>
  <c r="N63" i="8"/>
  <c r="N49" i="8"/>
  <c r="N55" i="8" s="1"/>
  <c r="N58" i="8" s="1"/>
  <c r="O43" i="8"/>
  <c r="N60" i="8"/>
  <c r="M69" i="8"/>
  <c r="N69" i="8" l="1"/>
  <c r="O49" i="8"/>
  <c r="O55" i="8" s="1"/>
  <c r="O58" i="8" s="1"/>
  <c r="P43" i="8"/>
  <c r="O60" i="8"/>
  <c r="P64" i="8"/>
  <c r="O63" i="8"/>
  <c r="P67" i="8"/>
  <c r="O66" i="8"/>
  <c r="P66" i="8" l="1"/>
  <c r="P63" i="8"/>
  <c r="O69" i="8"/>
  <c r="P49" i="8"/>
  <c r="P55" i="8" s="1"/>
  <c r="P58" i="8" s="1"/>
  <c r="P60" i="8"/>
  <c r="P69" i="8" l="1"/>
  <c r="F42" i="8" l="1"/>
  <c r="G42" i="8" s="1"/>
  <c r="H42" i="8" s="1"/>
  <c r="I42" i="8" s="1"/>
  <c r="J42" i="8" s="1"/>
  <c r="K42" i="8" s="1"/>
  <c r="L42" i="8" s="1"/>
  <c r="M42" i="8" s="1"/>
  <c r="N42" i="8" s="1"/>
  <c r="O42" i="8" s="1"/>
  <c r="P42" i="8" s="1"/>
  <c r="L41" i="8"/>
  <c r="M41" i="8" s="1"/>
  <c r="N41" i="8" s="1"/>
  <c r="O41" i="8" s="1"/>
  <c r="P41" i="8" s="1"/>
  <c r="E30" i="4" l="1"/>
  <c r="E29" i="4"/>
  <c r="E28" i="4"/>
  <c r="E27" i="4"/>
  <c r="E26" i="4"/>
  <c r="E25" i="4"/>
  <c r="E24" i="4"/>
  <c r="E23" i="4"/>
  <c r="E22" i="4"/>
  <c r="B22" i="4"/>
  <c r="B23" i="4" s="1"/>
  <c r="B24" i="4" s="1"/>
  <c r="B25" i="4" s="1"/>
  <c r="B26" i="4" s="1"/>
  <c r="B27" i="4" s="1"/>
  <c r="B28" i="4" s="1"/>
  <c r="B29" i="4" s="1"/>
  <c r="B30" i="4" s="1"/>
  <c r="E21" i="4"/>
  <c r="E32" i="4" l="1"/>
  <c r="E8" i="4" s="1"/>
  <c r="E9" i="4"/>
  <c r="E10" i="4" s="1"/>
  <c r="E11" i="4" s="1"/>
  <c r="E16" i="4" s="1"/>
  <c r="P83" i="8" s="1"/>
  <c r="T18" i="8" l="1"/>
  <c r="O18" i="8" s="1"/>
  <c r="J18" i="8" s="1"/>
  <c r="E18" i="8" s="1"/>
  <c r="K70" i="8" l="1"/>
  <c r="L70" i="8"/>
  <c r="M70" i="8"/>
  <c r="N70" i="8"/>
  <c r="O70" i="8"/>
  <c r="P70" i="8"/>
  <c r="P75" i="8"/>
  <c r="P76" i="8" s="1"/>
  <c r="P78" i="8" l="1"/>
  <c r="P81" i="8" s="1"/>
  <c r="P84" i="8" s="1"/>
  <c r="H5" i="8" s="1"/>
  <c r="H6"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2">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futureMetadata>
  <cellMetadata count="1">
    <bk>
      <rc t="1" v="0"/>
    </bk>
  </cellMetadata>
  <valueMetadata count="12">
    <bk>
      <rc t="2" v="0"/>
    </bk>
    <bk>
      <rc t="2" v="1"/>
    </bk>
    <bk>
      <rc t="2" v="2"/>
    </bk>
    <bk>
      <rc t="2" v="3"/>
    </bk>
    <bk>
      <rc t="2" v="4"/>
    </bk>
    <bk>
      <rc t="2" v="5"/>
    </bk>
    <bk>
      <rc t="2" v="6"/>
    </bk>
    <bk>
      <rc t="2" v="7"/>
    </bk>
    <bk>
      <rc t="2" v="8"/>
    </bk>
    <bk>
      <rc t="2" v="9"/>
    </bk>
    <bk>
      <rc t="2" v="10"/>
    </bk>
    <bk>
      <rc t="2" v="11"/>
    </bk>
  </valueMetadata>
</metadata>
</file>

<file path=xl/sharedStrings.xml><?xml version="1.0" encoding="utf-8"?>
<sst xmlns="http://schemas.openxmlformats.org/spreadsheetml/2006/main" count="637" uniqueCount="259">
  <si>
    <t>-</t>
  </si>
  <si>
    <t>FactSet Fundamentals</t>
  </si>
  <si>
    <t>WACC</t>
  </si>
  <si>
    <t>x</t>
  </si>
  <si>
    <t>Total</t>
  </si>
  <si>
    <t>Tax Rate</t>
  </si>
  <si>
    <t>Debt</t>
  </si>
  <si>
    <t>Beta</t>
  </si>
  <si>
    <t>Cost of equity = Risk free rate + Beta x Market Risk Premium</t>
  </si>
  <si>
    <t>WACC = % of equity x cost of equity + % of debt x cost of debt x (1 - Tax Rate)</t>
  </si>
  <si>
    <t>The Bull Case</t>
  </si>
  <si>
    <t>The Bear Case</t>
  </si>
  <si>
    <t>Cover</t>
  </si>
  <si>
    <t>Situation Overview</t>
  </si>
  <si>
    <t>Diluted Share Count Calculation</t>
  </si>
  <si>
    <t>Full Diluted Shares</t>
  </si>
  <si>
    <t>Current price</t>
  </si>
  <si>
    <t>Basic shares outstanding (latest filing)</t>
  </si>
  <si>
    <t>In-the-money exercisable options</t>
  </si>
  <si>
    <t>Total proceeds ($mm)</t>
  </si>
  <si>
    <t>Total shares repurchased (mm)</t>
  </si>
  <si>
    <t>Net dilutive options</t>
  </si>
  <si>
    <t>RSUs</t>
  </si>
  <si>
    <t>PSUs</t>
  </si>
  <si>
    <t>Net diluted shares outstanding</t>
  </si>
  <si>
    <t>Options outstanding</t>
  </si>
  <si>
    <t>Outstanding</t>
  </si>
  <si>
    <t>Exercise price</t>
  </si>
  <si>
    <t>Dilutive Shares</t>
  </si>
  <si>
    <t>All figures in millions of U.S. Dollar.</t>
  </si>
  <si>
    <t>Supplemental disclosure</t>
  </si>
  <si>
    <t>Deferred income taxes</t>
  </si>
  <si>
    <t>Net Income</t>
  </si>
  <si>
    <t>Tax Expense</t>
  </si>
  <si>
    <t>Pretax Income</t>
  </si>
  <si>
    <t>Operating Income</t>
  </si>
  <si>
    <t>EBITDA</t>
  </si>
  <si>
    <t>Gross Income</t>
  </si>
  <si>
    <t>Cost of Sales</t>
  </si>
  <si>
    <t>Sales</t>
  </si>
  <si>
    <t>Dec '29E</t>
  </si>
  <si>
    <t>Dec '28E</t>
  </si>
  <si>
    <t>Dec '27E</t>
  </si>
  <si>
    <t>Dec '26E</t>
  </si>
  <si>
    <t>Dec '25E</t>
  </si>
  <si>
    <t>CY '29E</t>
  </si>
  <si>
    <t>CY '28E</t>
  </si>
  <si>
    <t>CY '27E</t>
  </si>
  <si>
    <t>CY '26E</t>
  </si>
  <si>
    <t>CY '25E</t>
  </si>
  <si>
    <t>Income Statement (M)</t>
  </si>
  <si>
    <t>Cash Flow from Financing</t>
  </si>
  <si>
    <t>Cash Flow from Investing</t>
  </si>
  <si>
    <t>Cash Flow from Operations</t>
  </si>
  <si>
    <t>Free Cash Flow</t>
  </si>
  <si>
    <t>Capital Expenditures</t>
  </si>
  <si>
    <t>Cash Flow (M)</t>
  </si>
  <si>
    <t>Dec '23</t>
  </si>
  <si>
    <t>Dec '22</t>
  </si>
  <si>
    <t>Dec '21</t>
  </si>
  <si>
    <t>Dec '20</t>
  </si>
  <si>
    <t>Dec '19</t>
  </si>
  <si>
    <t>CY '23</t>
  </si>
  <si>
    <t>CY '22</t>
  </si>
  <si>
    <t>CY '21</t>
  </si>
  <si>
    <t>CY '20</t>
  </si>
  <si>
    <t>CY '19</t>
  </si>
  <si>
    <t>Date</t>
  </si>
  <si>
    <t>Trading Multiples</t>
  </si>
  <si>
    <t>Market</t>
  </si>
  <si>
    <t>Enterprise</t>
  </si>
  <si>
    <t>Current</t>
  </si>
  <si>
    <t>Price</t>
  </si>
  <si>
    <t>Revenue Growth</t>
  </si>
  <si>
    <t>EBITDA Margin</t>
  </si>
  <si>
    <t>Profit Margin</t>
  </si>
  <si>
    <t>EV / Revenue</t>
  </si>
  <si>
    <t>EV / EBITDA</t>
  </si>
  <si>
    <t>P / E</t>
  </si>
  <si>
    <t>Ticker</t>
  </si>
  <si>
    <t>Company Name</t>
  </si>
  <si>
    <t>Cap</t>
  </si>
  <si>
    <t>Value</t>
  </si>
  <si>
    <t>Mean</t>
  </si>
  <si>
    <t>Median</t>
  </si>
  <si>
    <t>Current Stock Price</t>
  </si>
  <si>
    <t>Implied Share Price</t>
  </si>
  <si>
    <t>Year End</t>
  </si>
  <si>
    <t>Upside / (Downside)</t>
  </si>
  <si>
    <t>Assumptions</t>
  </si>
  <si>
    <t>Switches</t>
  </si>
  <si>
    <t>Conservative</t>
  </si>
  <si>
    <t>Base</t>
  </si>
  <si>
    <t>Optimistic</t>
  </si>
  <si>
    <t>Year</t>
  </si>
  <si>
    <t>Metric</t>
  </si>
  <si>
    <t>Revenue</t>
  </si>
  <si>
    <t>EBIT</t>
  </si>
  <si>
    <t>TGR</t>
  </si>
  <si>
    <t>Valuation</t>
  </si>
  <si>
    <t>% growth</t>
  </si>
  <si>
    <t>% of sales</t>
  </si>
  <si>
    <t>Taxes</t>
  </si>
  <si>
    <t>Tax rate</t>
  </si>
  <si>
    <t>D&amp;A</t>
  </si>
  <si>
    <t>CapEx</t>
  </si>
  <si>
    <t>Change in NWC</t>
  </si>
  <si>
    <t>% of change in sales</t>
  </si>
  <si>
    <t>DCF (12/31, USD M)</t>
  </si>
  <si>
    <t>Base (Street)</t>
  </si>
  <si>
    <t>EBIAT</t>
  </si>
  <si>
    <t>UFCF</t>
  </si>
  <si>
    <t>PV of UFCF</t>
  </si>
  <si>
    <t>Period</t>
  </si>
  <si>
    <t>Discount Period</t>
  </si>
  <si>
    <t>TV</t>
  </si>
  <si>
    <t>PV of TV</t>
  </si>
  <si>
    <t>Enterprise Value</t>
  </si>
  <si>
    <t>(+) Cash</t>
  </si>
  <si>
    <t>(-) Debt</t>
  </si>
  <si>
    <t>Equity Value</t>
  </si>
  <si>
    <t>Share count</t>
  </si>
  <si>
    <t>Implied price per share</t>
  </si>
  <si>
    <t>DCF</t>
  </si>
  <si>
    <t>Income Statement (12/31)</t>
  </si>
  <si>
    <t>Compensation and Benefits</t>
  </si>
  <si>
    <t>Dec '30E</t>
  </si>
  <si>
    <t>Dec '24</t>
  </si>
  <si>
    <t>CY '30E</t>
  </si>
  <si>
    <t>CY '24</t>
  </si>
  <si>
    <t>UNH-US</t>
  </si>
  <si>
    <t>Promissory note issued for acquisition</t>
  </si>
  <si>
    <t>Common stock issued for convertible subordinated debentures redemption</t>
  </si>
  <si>
    <t>Common stock issued for acquisitions</t>
  </si>
  <si>
    <t>Noncash investing and financing activities</t>
  </si>
  <si>
    <t>Cash paid for income taxes</t>
  </si>
  <si>
    <t>Cash paid for interest</t>
  </si>
  <si>
    <t>Cash and cash equivalents, end of period</t>
  </si>
  <si>
    <t>Cash and cash equivalents, beginning of period</t>
  </si>
  <si>
    <t>Net increase in cash and cash equivalents</t>
  </si>
  <si>
    <t>Cash within businesses held for sale</t>
  </si>
  <si>
    <t>Increase / decrease in cash and cash equivalents</t>
  </si>
  <si>
    <t>Effect of exchange rate changes on cash and cash equivalents</t>
  </si>
  <si>
    <t>Interest rate swap termination</t>
  </si>
  <si>
    <t>Proceeds from issuance of long-term debt</t>
  </si>
  <si>
    <t>Repayments of / proceeds from commercial paper, net</t>
  </si>
  <si>
    <t>Repayments of long-term debt</t>
  </si>
  <si>
    <t>Net change in commercial paper and long-term debt</t>
  </si>
  <si>
    <t>Acquisition of redeemable noncontrolling interest shares</t>
  </si>
  <si>
    <t>Other</t>
  </si>
  <si>
    <t>Repayments of convertible subordinated debentures</t>
  </si>
  <si>
    <t>Other, net excluding share-based compensation excess tax benefits and checks outstanding</t>
  </si>
  <si>
    <t>Purchases of redeemable noncontrolling interests</t>
  </si>
  <si>
    <t>Checks outstanding</t>
  </si>
  <si>
    <t>Share-based compensation excess tax benefit</t>
  </si>
  <si>
    <t>Other, net excluding proceeds from common stock issuances</t>
  </si>
  <si>
    <t>Customer funds administered</t>
  </si>
  <si>
    <t>Proceeds from common stock issuances</t>
  </si>
  <si>
    <t>Other, net</t>
  </si>
  <si>
    <t>Dividends paid</t>
  </si>
  <si>
    <t>Common share repurchases</t>
  </si>
  <si>
    <t>Cash flows from / used for financing activities</t>
  </si>
  <si>
    <t>Cash transferred on sale of business</t>
  </si>
  <si>
    <t>Proceeds from disposal of property, equipment and capitalized software</t>
  </si>
  <si>
    <t>Purchases of property, equipment and capitalized software excluding proceeds from disposal of property, equipment and capitalized software</t>
  </si>
  <si>
    <t>Purchases of property, equipment and capitalized software</t>
  </si>
  <si>
    <t>Other, net excluding cash received from dispositions</t>
  </si>
  <si>
    <t>Cash received from dispositions</t>
  </si>
  <si>
    <t>Repayment of care provider loans - cyberattack</t>
  </si>
  <si>
    <t>Loans to providers - cyberattack</t>
  </si>
  <si>
    <t>Cash paid for acquisitions, net excluding cash received from dispositions and other, net</t>
  </si>
  <si>
    <t>Cash paid for acquisitions, net</t>
  </si>
  <si>
    <t>Sales of investments</t>
  </si>
  <si>
    <t>Maturities of investments</t>
  </si>
  <si>
    <t>Maturities and sales of investments</t>
  </si>
  <si>
    <t>Purchases of investments</t>
  </si>
  <si>
    <t>Purchases of investments, net of sales and maturities</t>
  </si>
  <si>
    <t>Cash flows used for investing activities</t>
  </si>
  <si>
    <t>Unearned revenues</t>
  </si>
  <si>
    <t>Other policy liabilities</t>
  </si>
  <si>
    <t>Accounts payable and other liabilities</t>
  </si>
  <si>
    <t>Accounts payable and other accrued liabilities</t>
  </si>
  <si>
    <t>Medical costs payable</t>
  </si>
  <si>
    <t>Other assets</t>
  </si>
  <si>
    <t>Accounts receivable</t>
  </si>
  <si>
    <t>Accounts receivable and other current assets</t>
  </si>
  <si>
    <t>Net changes in operating assets and liabilities</t>
  </si>
  <si>
    <t>Loss on sale of subsidiary</t>
  </si>
  <si>
    <t>Share-based compensation</t>
  </si>
  <si>
    <t>Gains on dispositions and other strategic transactions</t>
  </si>
  <si>
    <t>Deferred income taxes and other</t>
  </si>
  <si>
    <t>Depreciation and amortization</t>
  </si>
  <si>
    <t>Noncash items</t>
  </si>
  <si>
    <t>Net earnings</t>
  </si>
  <si>
    <t>Cash flows from operating activities</t>
  </si>
  <si>
    <t>31 DEC '24</t>
  </si>
  <si>
    <t>31 DEC '23</t>
  </si>
  <si>
    <t>31 DEC '22</t>
  </si>
  <si>
    <t>31 DEC '21</t>
  </si>
  <si>
    <t>31 DEC '20</t>
  </si>
  <si>
    <t>31 DEC '19</t>
  </si>
  <si>
    <t>31 DEC '18</t>
  </si>
  <si>
    <t>31 DEC '17</t>
  </si>
  <si>
    <t>31 DEC '16</t>
  </si>
  <si>
    <t>31 DEC '15</t>
  </si>
  <si>
    <t xml:space="preserve">UNH   91324P102   2917766   NYSE    Common stock    </t>
  </si>
  <si>
    <t>UnitedHealth Group Incorporated</t>
  </si>
  <si>
    <t>$324.90</t>
  </si>
  <si>
    <t>UnitedHealth Group Incorporated (UNH)</t>
  </si>
  <si>
    <t>UNH</t>
  </si>
  <si>
    <t>Cash Flow Items (12/31)</t>
  </si>
  <si>
    <t>1. Largest and most diversified healthcare insurer in the U.S., providing structural and scale advantages</t>
  </si>
  <si>
    <t>2. As US population ages, demand for healthcare could boost enrollment and revenues</t>
  </si>
  <si>
    <t>1. Regulatory risk with policy changes (especially to Medicare) that negatively impact UNH</t>
  </si>
  <si>
    <t>2. Rising medical costs and utilization pressures result in margin compression</t>
  </si>
  <si>
    <t>3. Investigations about improper billing practices</t>
  </si>
  <si>
    <t>3. Lots of bad press with CEO murder and regulatory changes has led to depressed stock price, but recent earnings signaled positive recovery --&gt; good setup for 2026?</t>
  </si>
  <si>
    <t>All figures in millions of U.S. Dollar except per share items.</t>
  </si>
  <si>
    <t>Diluted</t>
  </si>
  <si>
    <t>Basic</t>
  </si>
  <si>
    <t>Weighted average shares</t>
  </si>
  <si>
    <t>Per share</t>
  </si>
  <si>
    <t>Net earnings attributable to UnitedHealth Group common shareholders</t>
  </si>
  <si>
    <t>Earnings attributable to noncontrolling interests</t>
  </si>
  <si>
    <t>Provision for income taxes</t>
  </si>
  <si>
    <t>Earnings before income taxes</t>
  </si>
  <si>
    <t>Interest expense</t>
  </si>
  <si>
    <t>Earnings from operations</t>
  </si>
  <si>
    <t>Cost of products sold</t>
  </si>
  <si>
    <t>Operating costs</t>
  </si>
  <si>
    <t>Medical costs</t>
  </si>
  <si>
    <t>Total operating costs</t>
  </si>
  <si>
    <t>Investment and other income</t>
  </si>
  <si>
    <t>Services</t>
  </si>
  <si>
    <t>Products</t>
  </si>
  <si>
    <t>Premiums</t>
  </si>
  <si>
    <t>Total revenues</t>
  </si>
  <si>
    <t>$324.37</t>
  </si>
  <si>
    <t>'26-'27</t>
  </si>
  <si>
    <t>Revenue (% of base)</t>
  </si>
  <si>
    <t>Revenue (decel.)</t>
  </si>
  <si>
    <t>EBIT (% of base)</t>
  </si>
  <si>
    <t>EBIT (growth)</t>
  </si>
  <si>
    <t>'28-'30</t>
  </si>
  <si>
    <t>https://www.nseindia.com/static/market-data/securities-available-for-trading</t>
  </si>
  <si>
    <t>Trading Comparables</t>
  </si>
  <si>
    <t>WEBSITE</t>
  </si>
  <si>
    <t>TICKER</t>
  </si>
  <si>
    <t>Cr.</t>
  </si>
  <si>
    <t>Share</t>
  </si>
  <si>
    <t>Count</t>
  </si>
  <si>
    <t>Equity</t>
  </si>
  <si>
    <t>%</t>
  </si>
  <si>
    <t>Cost of</t>
  </si>
  <si>
    <t xml:space="preserve">Market Risk </t>
  </si>
  <si>
    <t>Premium</t>
  </si>
  <si>
    <t>Risk Free</t>
  </si>
  <si>
    <t>Rate</t>
  </si>
  <si>
    <t>HDFC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</si>
</sst>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00_);\(#,##0.000\)"/>
    <numFmt numFmtId="166" formatCode="#,##0.000_);\(#,##0.000\);@_)"/>
    <numFmt numFmtId="167" formatCode="#,##0.0_);\(#,##0.0\)"/>
    <numFmt numFmtId="168" formatCode="#,##0.0_);\(#,##0.0\);@_)"/>
    <numFmt numFmtId="169" formatCode="&quot;Tranche&quot;\ 0"/>
    <numFmt numFmtId="170" formatCode="0.000"/>
    <numFmt numFmtId="171" formatCode="0%;\(0%\)"/>
    <numFmt numFmtId="172" formatCode="0.0\x"/>
    <numFmt numFmtId="173" formatCode="0.0%;\(0.0%\)"/>
    <numFmt numFmtId="174" formatCode="0.0%"/>
    <numFmt numFmtId="175" formatCode="0\A"/>
    <numFmt numFmtId="176" formatCode="0&quot;E&quot;"/>
    <numFmt numFmtId="177" formatCode="_ [$₹-4009]\ * #,##0.00_ ;_ [$₹-4009]\ * \-#,##0.00_ ;_ [$₹-4009]\ * &quot;-&quot;??_ ;_ @_ "/>
  </numFmts>
  <fonts count="4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646464"/>
      <name val="Arial"/>
      <family val="2"/>
    </font>
    <font>
      <u/>
      <sz val="10"/>
      <color rgb="FF0000FF"/>
      <name val="Arial"/>
      <family val="2"/>
    </font>
    <font>
      <b/>
      <sz val="10"/>
      <color rgb="FF003366"/>
      <name val="Arial"/>
      <family val="2"/>
    </font>
    <font>
      <b/>
      <u/>
      <sz val="10"/>
      <color rgb="FF003366"/>
      <name val="Arial"/>
      <family val="2"/>
    </font>
    <font>
      <u/>
      <sz val="10"/>
      <color rgb="FFFF0000"/>
      <name val="Arial"/>
      <family val="2"/>
    </font>
    <font>
      <b/>
      <sz val="10"/>
      <color theme="1"/>
      <name val="Arial"/>
      <family val="2"/>
    </font>
    <font>
      <b/>
      <sz val="16"/>
      <color theme="1"/>
      <name val="Calibri"/>
      <family val="2"/>
      <scheme val="minor"/>
    </font>
    <font>
      <b/>
      <u/>
      <sz val="11"/>
      <color theme="1"/>
      <name val="Calibri"/>
      <family val="2"/>
      <scheme val="minor"/>
    </font>
    <font>
      <sz val="11"/>
      <color rgb="FF0033CC"/>
      <name val="Calibri"/>
      <family val="2"/>
      <scheme val="minor"/>
    </font>
    <font>
      <sz val="11"/>
      <color rgb="FF000000"/>
      <name val="Calibri"/>
      <family val="2"/>
      <scheme val="minor"/>
    </font>
    <font>
      <sz val="11"/>
      <color indexed="12"/>
      <name val="Calibri"/>
      <family val="2"/>
      <scheme val="minor"/>
    </font>
    <font>
      <sz val="11"/>
      <color rgb="FF7030A0"/>
      <name val="Calibri"/>
      <family val="2"/>
      <scheme val="minor"/>
    </font>
    <font>
      <sz val="11"/>
      <color rgb="FF0000FF"/>
      <name val="Calibri"/>
      <family val="2"/>
      <scheme val="minor"/>
    </font>
    <font>
      <sz val="10"/>
      <color rgb="FFFF0000"/>
      <name val="Arial"/>
      <family val="2"/>
    </font>
    <font>
      <sz val="11"/>
      <color theme="1"/>
      <name val="Calibri"/>
      <family val="2"/>
      <scheme val="minor"/>
    </font>
    <font>
      <b/>
      <sz val="12"/>
      <color rgb="FFC00000"/>
      <name val="Calibri"/>
      <family val="2"/>
      <scheme val="minor"/>
    </font>
    <font>
      <b/>
      <sz val="12"/>
      <color theme="1"/>
      <name val="Calibri"/>
      <family val="2"/>
      <scheme val="minor"/>
    </font>
    <font>
      <sz val="12"/>
      <color theme="4"/>
      <name val="Calibri"/>
      <family val="2"/>
      <scheme val="minor"/>
    </font>
    <font>
      <u/>
      <sz val="11"/>
      <color theme="1"/>
      <name val="Calibri"/>
      <family val="2"/>
      <scheme val="minor"/>
    </font>
    <font>
      <sz val="11"/>
      <name val="Calibri"/>
      <family val="2"/>
      <scheme val="minor"/>
    </font>
    <font>
      <sz val="11"/>
      <color theme="9"/>
      <name val="Calibri"/>
      <family val="2"/>
      <scheme val="minor"/>
    </font>
    <font>
      <i/>
      <sz val="11"/>
      <color theme="1"/>
      <name val="Calibri"/>
      <family val="2"/>
      <scheme val="minor"/>
    </font>
    <font>
      <i/>
      <sz val="11"/>
      <name val="Calibri"/>
      <family val="2"/>
      <scheme val="minor"/>
    </font>
    <font>
      <b/>
      <sz val="11"/>
      <name val="Calibri"/>
      <family val="2"/>
      <scheme val="minor"/>
    </font>
    <font>
      <sz val="11"/>
      <color rgb="FFC00000"/>
      <name val="Calibri"/>
      <family val="2"/>
      <scheme val="minor"/>
    </font>
    <font>
      <i/>
      <sz val="11"/>
      <color rgb="FF7030A0"/>
      <name val="Calibri"/>
      <family val="2"/>
      <scheme val="minor"/>
    </font>
    <font>
      <i/>
      <sz val="11"/>
      <color rgb="FFC00000"/>
      <name val="Calibri"/>
      <family val="2"/>
      <scheme val="minor"/>
    </font>
    <font>
      <sz val="11"/>
      <color theme="4"/>
      <name val="Calibri"/>
      <family val="2"/>
      <scheme val="minor"/>
    </font>
    <font>
      <sz val="11"/>
      <color theme="9" tint="-0.249977111117893"/>
      <name val="Calibri"/>
      <family val="2"/>
      <scheme val="minor"/>
    </font>
    <font>
      <sz val="12"/>
      <color theme="1"/>
      <name val="Calibri"/>
      <family val="2"/>
      <scheme val="minor"/>
    </font>
    <font>
      <u/>
      <sz val="11"/>
      <color theme="9"/>
      <name val="Calibri"/>
      <family val="2"/>
      <scheme val="minor"/>
    </font>
    <font>
      <b/>
      <sz val="12"/>
      <color theme="0"/>
      <name val="Calibri"/>
      <family val="2"/>
      <scheme val="minor"/>
    </font>
    <font>
      <b/>
      <u val="singleAccounting"/>
      <sz val="12"/>
      <color theme="0"/>
      <name val="Calibri"/>
      <family val="2"/>
      <scheme val="minor"/>
    </font>
    <font>
      <sz val="11"/>
      <color rgb="FF0070C0"/>
      <name val="Calibri"/>
      <family val="2"/>
      <scheme val="minor"/>
    </font>
    <font>
      <b/>
      <u/>
      <sz val="11"/>
      <name val="Calibri"/>
      <family val="2"/>
      <scheme val="minor"/>
    </font>
  </fonts>
  <fills count="13">
    <fill>
      <patternFill patternType="none"/>
    </fill>
    <fill>
      <patternFill patternType="gray125"/>
    </fill>
    <fill>
      <patternFill patternType="solid">
        <fgColor rgb="FFF0F0F0"/>
        <bgColor indexed="64"/>
      </patternFill>
    </fill>
    <fill>
      <patternFill patternType="solid">
        <fgColor rgb="FFC8C8C8"/>
        <bgColor indexed="64"/>
      </patternFill>
    </fill>
    <fill>
      <patternFill patternType="solid">
        <fgColor theme="7" tint="0.79998168889431442"/>
        <bgColor indexed="64"/>
      </patternFill>
    </fill>
    <fill>
      <patternFill patternType="solid">
        <fgColor rgb="FF002060"/>
        <bgColor indexed="64"/>
      </patternFill>
    </fill>
    <fill>
      <patternFill patternType="solid">
        <fgColor theme="3"/>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2" tint="-9.9978637043366805E-2"/>
        <bgColor indexed="64"/>
      </patternFill>
    </fill>
  </fills>
  <borders count="14">
    <border>
      <left/>
      <right/>
      <top/>
      <bottom/>
      <diagonal/>
    </border>
    <border>
      <left/>
      <right/>
      <top style="thin">
        <color rgb="FF000000"/>
      </top>
      <bottom/>
      <diagonal/>
    </border>
    <border>
      <left/>
      <right/>
      <top/>
      <bottom style="thin">
        <color rgb="FF000000"/>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s>
  <cellStyleXfs count="6">
    <xf numFmtId="0" fontId="0" fillId="0" borderId="0"/>
    <xf numFmtId="0" fontId="4" fillId="0" borderId="0"/>
    <xf numFmtId="0" fontId="6" fillId="0" borderId="0"/>
    <xf numFmtId="9" fontId="19" fillId="0" borderId="0" applyFont="0" applyFill="0" applyBorder="0" applyAlignment="0" applyProtection="0"/>
    <xf numFmtId="0" fontId="34" fillId="0" borderId="0"/>
    <xf numFmtId="9" fontId="34" fillId="0" borderId="0" applyFont="0" applyFill="0" applyBorder="0" applyAlignment="0" applyProtection="0"/>
  </cellStyleXfs>
  <cellXfs count="193">
    <xf numFmtId="0" fontId="0" fillId="0" borderId="0" xfId="0"/>
    <xf numFmtId="0" fontId="4" fillId="0" borderId="0" xfId="1"/>
    <xf numFmtId="0" fontId="5" fillId="0" borderId="0" xfId="1" applyFont="1" applyAlignment="1">
      <alignment horizontal="left"/>
    </xf>
    <xf numFmtId="0" fontId="4" fillId="2" borderId="0" xfId="1" applyFill="1" applyAlignment="1">
      <alignment horizontal="left" indent="1"/>
    </xf>
    <xf numFmtId="0" fontId="4" fillId="0" borderId="0" xfId="1" applyAlignment="1">
      <alignment horizontal="left" indent="1"/>
    </xf>
    <xf numFmtId="0" fontId="7" fillId="2" borderId="0" xfId="1" applyFont="1" applyFill="1" applyAlignment="1">
      <alignment horizontal="left"/>
    </xf>
    <xf numFmtId="0" fontId="4" fillId="0" borderId="0" xfId="1" applyAlignment="1">
      <alignment horizontal="left"/>
    </xf>
    <xf numFmtId="0" fontId="4" fillId="0" borderId="0" xfId="1" applyAlignment="1">
      <alignment horizontal="left" indent="4"/>
    </xf>
    <xf numFmtId="0" fontId="4" fillId="2" borderId="0" xfId="1" applyFill="1" applyAlignment="1">
      <alignment horizontal="left"/>
    </xf>
    <xf numFmtId="0" fontId="4" fillId="2" borderId="0" xfId="1" applyFill="1" applyAlignment="1">
      <alignment horizontal="left" indent="4"/>
    </xf>
    <xf numFmtId="0" fontId="7" fillId="0" borderId="0" xfId="1" applyFont="1" applyAlignment="1">
      <alignment horizontal="left" indent="3"/>
    </xf>
    <xf numFmtId="0" fontId="7" fillId="2" borderId="0" xfId="1" applyFont="1" applyFill="1" applyAlignment="1">
      <alignment horizontal="left" indent="3"/>
    </xf>
    <xf numFmtId="0" fontId="7" fillId="0" borderId="0" xfId="1" applyFont="1" applyAlignment="1">
      <alignment horizontal="left"/>
    </xf>
    <xf numFmtId="3" fontId="6" fillId="2" borderId="0" xfId="2" applyNumberFormat="1" applyFill="1" applyAlignment="1">
      <alignment horizontal="right"/>
    </xf>
    <xf numFmtId="3" fontId="6" fillId="0" borderId="0" xfId="2" applyNumberFormat="1" applyAlignment="1">
      <alignment horizontal="right"/>
    </xf>
    <xf numFmtId="3" fontId="4" fillId="2" borderId="0" xfId="1" applyNumberFormat="1" applyFill="1" applyAlignment="1">
      <alignment horizontal="right"/>
    </xf>
    <xf numFmtId="3" fontId="9" fillId="0" borderId="0" xfId="2" applyNumberFormat="1" applyFont="1" applyAlignment="1">
      <alignment horizontal="right"/>
    </xf>
    <xf numFmtId="3" fontId="9" fillId="2" borderId="0" xfId="2" applyNumberFormat="1" applyFont="1" applyFill="1" applyAlignment="1">
      <alignment horizontal="right"/>
    </xf>
    <xf numFmtId="0" fontId="10" fillId="3" borderId="0" xfId="1" applyFont="1" applyFill="1" applyAlignment="1">
      <alignment horizontal="left"/>
    </xf>
    <xf numFmtId="0" fontId="4" fillId="0" borderId="1" xfId="1" applyBorder="1"/>
    <xf numFmtId="0" fontId="4" fillId="0" borderId="2" xfId="1" applyBorder="1"/>
    <xf numFmtId="0" fontId="10" fillId="0" borderId="0" xfId="1" applyFont="1"/>
    <xf numFmtId="0" fontId="0" fillId="0" borderId="4" xfId="0" applyBorder="1"/>
    <xf numFmtId="0" fontId="11" fillId="0" borderId="4" xfId="0" applyFont="1" applyBorder="1"/>
    <xf numFmtId="0" fontId="0" fillId="0" borderId="0" xfId="0" applyAlignment="1">
      <alignment horizontal="center"/>
    </xf>
    <xf numFmtId="0" fontId="12" fillId="0" borderId="0" xfId="0" applyFont="1"/>
    <xf numFmtId="0" fontId="0" fillId="0" borderId="4" xfId="0" applyBorder="1" applyAlignment="1">
      <alignment horizontal="center"/>
    </xf>
    <xf numFmtId="0" fontId="1" fillId="6" borderId="0" xfId="0" applyFont="1" applyFill="1"/>
    <xf numFmtId="0" fontId="0" fillId="0" borderId="0" xfId="0" applyAlignment="1">
      <alignment horizontal="left" indent="1"/>
    </xf>
    <xf numFmtId="0" fontId="1" fillId="6" borderId="0" xfId="0" applyFont="1" applyFill="1" applyAlignment="1">
      <alignment horizontal="left"/>
    </xf>
    <xf numFmtId="0" fontId="3" fillId="6" borderId="0" xfId="0" applyFont="1" applyFill="1" applyAlignment="1">
      <alignment horizontal="centerContinuous"/>
    </xf>
    <xf numFmtId="0" fontId="1" fillId="0" borderId="0" xfId="0" applyFont="1" applyAlignment="1">
      <alignment horizontal="left"/>
    </xf>
    <xf numFmtId="0" fontId="3" fillId="0" borderId="0" xfId="0" applyFont="1" applyAlignment="1">
      <alignment horizontal="centerContinuous"/>
    </xf>
    <xf numFmtId="0" fontId="0" fillId="0" borderId="0" xfId="0" applyAlignment="1">
      <alignment horizontal="left"/>
    </xf>
    <xf numFmtId="39" fontId="13" fillId="7" borderId="3" xfId="0" applyNumberFormat="1" applyFont="1" applyFill="1" applyBorder="1" applyAlignment="1">
      <alignment horizontal="right"/>
    </xf>
    <xf numFmtId="39" fontId="0" fillId="0" borderId="0" xfId="0" applyNumberFormat="1"/>
    <xf numFmtId="0" fontId="14" fillId="0" borderId="0" xfId="0" applyFont="1" applyAlignment="1">
      <alignment horizontal="left"/>
    </xf>
    <xf numFmtId="165" fontId="15" fillId="7" borderId="3" xfId="0" applyNumberFormat="1" applyFont="1" applyFill="1" applyBorder="1" applyAlignment="1">
      <alignment horizontal="right"/>
    </xf>
    <xf numFmtId="166" fontId="16" fillId="0" borderId="0" xfId="0" applyNumberFormat="1" applyFont="1"/>
    <xf numFmtId="166" fontId="0" fillId="0" borderId="0" xfId="0" applyNumberFormat="1"/>
    <xf numFmtId="166" fontId="17" fillId="0" borderId="0" xfId="0" applyNumberFormat="1" applyFont="1"/>
    <xf numFmtId="0" fontId="2" fillId="0" borderId="0" xfId="0" applyFont="1" applyAlignment="1">
      <alignment horizontal="left"/>
    </xf>
    <xf numFmtId="167" fontId="0" fillId="0" borderId="0" xfId="0" applyNumberFormat="1"/>
    <xf numFmtId="166" fontId="2" fillId="0" borderId="0" xfId="0" applyNumberFormat="1" applyFont="1"/>
    <xf numFmtId="168" fontId="0" fillId="0" borderId="0" xfId="0" applyNumberFormat="1"/>
    <xf numFmtId="0" fontId="12" fillId="0" borderId="0" xfId="0" applyFont="1" applyAlignment="1">
      <alignment horizontal="right"/>
    </xf>
    <xf numFmtId="169" fontId="0" fillId="0" borderId="0" xfId="0" applyNumberFormat="1" applyAlignment="1">
      <alignment horizontal="left"/>
    </xf>
    <xf numFmtId="39" fontId="15" fillId="7" borderId="3" xfId="0" applyNumberFormat="1" applyFont="1" applyFill="1" applyBorder="1" applyAlignment="1">
      <alignment horizontal="right"/>
    </xf>
    <xf numFmtId="170" fontId="0" fillId="0" borderId="0" xfId="0" applyNumberFormat="1" applyAlignment="1">
      <alignment horizontal="right" indent="1"/>
    </xf>
    <xf numFmtId="169" fontId="0" fillId="0" borderId="4" xfId="0" applyNumberFormat="1" applyBorder="1" applyAlignment="1">
      <alignment horizontal="left"/>
    </xf>
    <xf numFmtId="167" fontId="15" fillId="0" borderId="4" xfId="0" applyNumberFormat="1" applyFont="1" applyBorder="1" applyAlignment="1">
      <alignment horizontal="right"/>
    </xf>
    <xf numFmtId="0" fontId="0" fillId="0" borderId="4" xfId="0" applyBorder="1" applyAlignment="1">
      <alignment horizontal="right" indent="1"/>
    </xf>
    <xf numFmtId="0" fontId="2" fillId="8" borderId="5" xfId="0" applyFont="1" applyFill="1" applyBorder="1"/>
    <xf numFmtId="0" fontId="2" fillId="8" borderId="6" xfId="0" applyFont="1" applyFill="1" applyBorder="1"/>
    <xf numFmtId="170" fontId="2" fillId="8" borderId="7" xfId="0" applyNumberFormat="1" applyFont="1" applyFill="1" applyBorder="1" applyAlignment="1">
      <alignment horizontal="right" indent="1"/>
    </xf>
    <xf numFmtId="0" fontId="4" fillId="2" borderId="0" xfId="1" applyFill="1" applyAlignment="1">
      <alignment horizontal="left" indent="7"/>
    </xf>
    <xf numFmtId="0" fontId="4" fillId="0" borderId="0" xfId="1" applyAlignment="1">
      <alignment horizontal="left" indent="7"/>
    </xf>
    <xf numFmtId="3" fontId="8" fillId="0" borderId="0" xfId="2" applyNumberFormat="1" applyFont="1" applyAlignment="1">
      <alignment horizontal="right"/>
    </xf>
    <xf numFmtId="3" fontId="7" fillId="0" borderId="0" xfId="1" applyNumberFormat="1" applyFont="1" applyAlignment="1">
      <alignment horizontal="right"/>
    </xf>
    <xf numFmtId="0" fontId="7" fillId="0" borderId="0" xfId="1" applyFont="1" applyAlignment="1">
      <alignment horizontal="left" indent="6"/>
    </xf>
    <xf numFmtId="3" fontId="8" fillId="2" borderId="0" xfId="2" applyNumberFormat="1" applyFont="1" applyFill="1" applyAlignment="1">
      <alignment horizontal="right"/>
    </xf>
    <xf numFmtId="3" fontId="7" fillId="2" borderId="0" xfId="1" applyNumberFormat="1" applyFont="1" applyFill="1" applyAlignment="1">
      <alignment horizontal="right"/>
    </xf>
    <xf numFmtId="0" fontId="7" fillId="2" borderId="0" xfId="1" applyFont="1" applyFill="1" applyAlignment="1">
      <alignment horizontal="left" indent="6"/>
    </xf>
    <xf numFmtId="3" fontId="4" fillId="0" borderId="0" xfId="1" applyNumberFormat="1" applyAlignment="1">
      <alignment horizontal="right"/>
    </xf>
    <xf numFmtId="0" fontId="7" fillId="3" borderId="0" xfId="1" applyFont="1" applyFill="1" applyAlignment="1">
      <alignment horizontal="left"/>
    </xf>
    <xf numFmtId="3" fontId="18" fillId="2" borderId="0" xfId="1" applyNumberFormat="1" applyFont="1" applyFill="1" applyAlignment="1">
      <alignment horizontal="right"/>
    </xf>
    <xf numFmtId="3" fontId="18" fillId="0" borderId="0" xfId="1" applyNumberFormat="1" applyFont="1" applyAlignment="1">
      <alignment horizontal="right"/>
    </xf>
    <xf numFmtId="0" fontId="0" fillId="4" borderId="3" xfId="0" applyFill="1" applyBorder="1" applyAlignment="1">
      <alignment horizontal="center"/>
    </xf>
    <xf numFmtId="14" fontId="0" fillId="4" borderId="3" xfId="0" applyNumberFormat="1" applyFill="1" applyBorder="1"/>
    <xf numFmtId="2" fontId="0" fillId="0" borderId="0" xfId="0" applyNumberFormat="1"/>
    <xf numFmtId="171" fontId="0" fillId="0" borderId="0" xfId="0" applyNumberFormat="1"/>
    <xf numFmtId="0" fontId="1" fillId="11" borderId="0" xfId="0" applyFont="1" applyFill="1"/>
    <xf numFmtId="0" fontId="3" fillId="11" borderId="0" xfId="0" applyFont="1" applyFill="1"/>
    <xf numFmtId="0" fontId="23" fillId="0" borderId="0" xfId="0" applyFont="1"/>
    <xf numFmtId="0" fontId="12" fillId="0" borderId="0" xfId="0" applyFont="1" applyAlignment="1">
      <alignment horizontal="center"/>
    </xf>
    <xf numFmtId="173" fontId="0" fillId="4" borderId="3" xfId="0" applyNumberFormat="1" applyFill="1" applyBorder="1" applyAlignment="1">
      <alignment horizontal="center"/>
    </xf>
    <xf numFmtId="0" fontId="0" fillId="0" borderId="0" xfId="0" quotePrefix="1" applyAlignment="1">
      <alignment horizontal="center"/>
    </xf>
    <xf numFmtId="174" fontId="0" fillId="4" borderId="3" xfId="3" applyNumberFormat="1" applyFont="1" applyFill="1" applyBorder="1" applyAlignment="1">
      <alignment horizontal="center"/>
    </xf>
    <xf numFmtId="174" fontId="0" fillId="0" borderId="0" xfId="3" applyNumberFormat="1" applyFont="1" applyFill="1" applyBorder="1" applyAlignment="1">
      <alignment horizontal="center"/>
    </xf>
    <xf numFmtId="175" fontId="1" fillId="6" borderId="0" xfId="0" applyNumberFormat="1" applyFont="1" applyFill="1"/>
    <xf numFmtId="176" fontId="1" fillId="6" borderId="0" xfId="0" applyNumberFormat="1" applyFont="1" applyFill="1"/>
    <xf numFmtId="0" fontId="24" fillId="0" borderId="0" xfId="0" applyFont="1"/>
    <xf numFmtId="37" fontId="25" fillId="0" borderId="0" xfId="0" applyNumberFormat="1" applyFont="1"/>
    <xf numFmtId="0" fontId="26" fillId="0" borderId="0" xfId="0" applyFont="1" applyAlignment="1">
      <alignment horizontal="left" indent="1"/>
    </xf>
    <xf numFmtId="9" fontId="0" fillId="0" borderId="0" xfId="0" quotePrefix="1" applyNumberFormat="1" applyAlignment="1">
      <alignment horizontal="right"/>
    </xf>
    <xf numFmtId="171" fontId="26" fillId="0" borderId="0" xfId="3" applyNumberFormat="1" applyFont="1"/>
    <xf numFmtId="171" fontId="26" fillId="0" borderId="0" xfId="0" quotePrefix="1" applyNumberFormat="1" applyFont="1" applyAlignment="1">
      <alignment horizontal="right"/>
    </xf>
    <xf numFmtId="171" fontId="27" fillId="0" borderId="0" xfId="0" quotePrefix="1" applyNumberFormat="1" applyFont="1" applyAlignment="1">
      <alignment horizontal="right"/>
    </xf>
    <xf numFmtId="0" fontId="24" fillId="0" borderId="0" xfId="0" applyFont="1" applyAlignment="1">
      <alignment horizontal="center"/>
    </xf>
    <xf numFmtId="0" fontId="28" fillId="0" borderId="0" xfId="0" applyFont="1"/>
    <xf numFmtId="37" fontId="29" fillId="0" borderId="0" xfId="0" applyNumberFormat="1" applyFont="1"/>
    <xf numFmtId="1" fontId="29" fillId="0" borderId="0" xfId="0" applyNumberFormat="1" applyFont="1"/>
    <xf numFmtId="0" fontId="26" fillId="0" borderId="0" xfId="0" applyFont="1"/>
    <xf numFmtId="9" fontId="26" fillId="0" borderId="0" xfId="0" quotePrefix="1" applyNumberFormat="1" applyFont="1" applyAlignment="1">
      <alignment horizontal="right"/>
    </xf>
    <xf numFmtId="9" fontId="28" fillId="0" borderId="0" xfId="0" applyNumberFormat="1" applyFont="1"/>
    <xf numFmtId="0" fontId="0" fillId="0" borderId="0" xfId="0" quotePrefix="1" applyAlignment="1">
      <alignment horizontal="right"/>
    </xf>
    <xf numFmtId="37" fontId="16" fillId="0" borderId="0" xfId="0" applyNumberFormat="1" applyFont="1"/>
    <xf numFmtId="37" fontId="24" fillId="0" borderId="0" xfId="0" applyNumberFormat="1" applyFont="1"/>
    <xf numFmtId="171" fontId="30" fillId="0" borderId="0" xfId="0" quotePrefix="1" applyNumberFormat="1" applyFont="1" applyAlignment="1">
      <alignment horizontal="right"/>
    </xf>
    <xf numFmtId="171" fontId="27" fillId="0" borderId="0" xfId="0" applyNumberFormat="1" applyFont="1" applyAlignment="1">
      <alignment horizontal="right"/>
    </xf>
    <xf numFmtId="9" fontId="30" fillId="4" borderId="3" xfId="3" applyFont="1" applyFill="1" applyBorder="1" applyAlignment="1">
      <alignment horizontal="right"/>
    </xf>
    <xf numFmtId="0" fontId="0" fillId="0" borderId="5" xfId="0" applyBorder="1"/>
    <xf numFmtId="0" fontId="0" fillId="0" borderId="6" xfId="0" applyBorder="1"/>
    <xf numFmtId="37" fontId="0" fillId="0" borderId="6" xfId="0" applyNumberFormat="1" applyBorder="1"/>
    <xf numFmtId="37" fontId="0" fillId="0" borderId="7" xfId="0" applyNumberFormat="1" applyBorder="1"/>
    <xf numFmtId="37" fontId="0" fillId="0" borderId="0" xfId="0" applyNumberFormat="1"/>
    <xf numFmtId="37" fontId="32" fillId="0" borderId="0" xfId="0" applyNumberFormat="1" applyFont="1"/>
    <xf numFmtId="37" fontId="33" fillId="0" borderId="0" xfId="0" applyNumberFormat="1" applyFont="1"/>
    <xf numFmtId="164" fontId="6" fillId="2" borderId="0" xfId="2" applyNumberFormat="1" applyFill="1" applyAlignment="1">
      <alignment horizontal="right"/>
    </xf>
    <xf numFmtId="164" fontId="6" fillId="0" borderId="0" xfId="2" applyNumberFormat="1" applyAlignment="1">
      <alignment horizontal="right"/>
    </xf>
    <xf numFmtId="9" fontId="26" fillId="4" borderId="3" xfId="3" applyFont="1" applyFill="1" applyBorder="1" applyAlignment="1">
      <alignment horizontal="right"/>
    </xf>
    <xf numFmtId="37" fontId="15" fillId="7" borderId="3" xfId="0" applyNumberFormat="1" applyFont="1" applyFill="1" applyBorder="1" applyAlignment="1">
      <alignment horizontal="right"/>
    </xf>
    <xf numFmtId="0" fontId="4" fillId="0" borderId="0" xfId="1" applyAlignment="1">
      <alignment horizontal="left" indent="10"/>
    </xf>
    <xf numFmtId="0" fontId="4" fillId="2" borderId="0" xfId="1" applyFill="1" applyAlignment="1">
      <alignment horizontal="left" indent="10"/>
    </xf>
    <xf numFmtId="0" fontId="7" fillId="0" borderId="0" xfId="1" applyFont="1" applyAlignment="1">
      <alignment horizontal="left" indent="9"/>
    </xf>
    <xf numFmtId="4" fontId="6" fillId="0" borderId="0" xfId="2" applyNumberFormat="1" applyAlignment="1">
      <alignment horizontal="right"/>
    </xf>
    <xf numFmtId="4" fontId="6" fillId="2" borderId="0" xfId="2" applyNumberFormat="1" applyFill="1" applyAlignment="1">
      <alignment horizontal="right"/>
    </xf>
    <xf numFmtId="1" fontId="6" fillId="2" borderId="0" xfId="2" applyNumberFormat="1" applyFill="1" applyAlignment="1">
      <alignment horizontal="right"/>
    </xf>
    <xf numFmtId="1" fontId="9" fillId="0" borderId="0" xfId="2" applyNumberFormat="1" applyFont="1" applyAlignment="1">
      <alignment horizontal="right"/>
    </xf>
    <xf numFmtId="1" fontId="9" fillId="2" borderId="0" xfId="2" applyNumberFormat="1" applyFont="1" applyFill="1" applyAlignment="1">
      <alignment horizontal="right"/>
    </xf>
    <xf numFmtId="1" fontId="6" fillId="0" borderId="0" xfId="2" applyNumberFormat="1" applyAlignment="1">
      <alignment horizontal="right"/>
    </xf>
    <xf numFmtId="1" fontId="8" fillId="2" borderId="0" xfId="2" applyNumberFormat="1" applyFont="1" applyFill="1" applyAlignment="1">
      <alignment horizontal="right"/>
    </xf>
    <xf numFmtId="1" fontId="8" fillId="0" borderId="0" xfId="2" applyNumberFormat="1" applyFont="1" applyAlignment="1">
      <alignment horizontal="right"/>
    </xf>
    <xf numFmtId="37" fontId="25" fillId="12" borderId="0" xfId="0" applyNumberFormat="1" applyFont="1" applyFill="1"/>
    <xf numFmtId="171" fontId="26" fillId="12" borderId="0" xfId="3" applyNumberFormat="1" applyFont="1" applyFill="1"/>
    <xf numFmtId="0" fontId="0" fillId="12" borderId="0" xfId="0" applyFill="1"/>
    <xf numFmtId="174" fontId="0" fillId="12" borderId="0" xfId="3" applyNumberFormat="1" applyFont="1" applyFill="1" applyBorder="1" applyAlignment="1">
      <alignment horizontal="center"/>
    </xf>
    <xf numFmtId="171" fontId="26" fillId="12" borderId="0" xfId="0" quotePrefix="1" applyNumberFormat="1" applyFont="1" applyFill="1" applyAlignment="1">
      <alignment horizontal="right"/>
    </xf>
    <xf numFmtId="9" fontId="31" fillId="4" borderId="3" xfId="3" applyFont="1" applyFill="1" applyBorder="1" applyAlignment="1">
      <alignment horizontal="right"/>
    </xf>
    <xf numFmtId="9" fontId="27" fillId="4" borderId="3" xfId="3" applyFont="1" applyFill="1" applyBorder="1" applyAlignment="1">
      <alignment horizontal="right"/>
    </xf>
    <xf numFmtId="171" fontId="31" fillId="0" borderId="0" xfId="0" quotePrefix="1" applyNumberFormat="1" applyFont="1" applyAlignment="1">
      <alignment horizontal="right"/>
    </xf>
    <xf numFmtId="170" fontId="0" fillId="0" borderId="0" xfId="0" applyNumberFormat="1"/>
    <xf numFmtId="0" fontId="0" fillId="0" borderId="8" xfId="0" applyBorder="1"/>
    <xf numFmtId="0" fontId="0" fillId="0" borderId="9" xfId="0" applyBorder="1"/>
    <xf numFmtId="37" fontId="0" fillId="0" borderId="9" xfId="0" applyNumberFormat="1" applyBorder="1"/>
    <xf numFmtId="37" fontId="0" fillId="0" borderId="10" xfId="0" applyNumberFormat="1" applyBorder="1"/>
    <xf numFmtId="0" fontId="0" fillId="0" borderId="11" xfId="0" applyBorder="1"/>
    <xf numFmtId="37" fontId="0" fillId="0" borderId="4" xfId="0" applyNumberFormat="1" applyBorder="1"/>
    <xf numFmtId="37" fontId="0" fillId="0" borderId="12" xfId="0" applyNumberFormat="1" applyBorder="1"/>
    <xf numFmtId="0" fontId="6" fillId="0" borderId="0" xfId="2"/>
    <xf numFmtId="0" fontId="21" fillId="0" borderId="4" xfId="0" applyFont="1" applyBorder="1"/>
    <xf numFmtId="14" fontId="0" fillId="4" borderId="13" xfId="0" applyNumberFormat="1" applyFill="1" applyBorder="1" applyAlignment="1">
      <alignment horizontal="center" vertical="center"/>
    </xf>
    <xf numFmtId="0" fontId="20" fillId="0" borderId="4" xfId="0" applyFont="1" applyBorder="1" applyAlignment="1">
      <alignment horizontal="center"/>
    </xf>
    <xf numFmtId="14" fontId="6" fillId="4" borderId="13" xfId="2" applyNumberFormat="1" applyFill="1" applyBorder="1" applyAlignment="1">
      <alignment horizontal="center" vertical="center"/>
    </xf>
    <xf numFmtId="0" fontId="26" fillId="0" borderId="0" xfId="0" applyFont="1" applyAlignment="1">
      <alignment horizontal="center"/>
    </xf>
    <xf numFmtId="0" fontId="21" fillId="0" borderId="0" xfId="0" applyFont="1" applyAlignment="1">
      <alignment vertical="center"/>
    </xf>
    <xf numFmtId="0" fontId="21" fillId="0" borderId="0" xfId="0" applyFont="1" applyAlignment="1">
      <alignment horizontal="center" vertical="center"/>
    </xf>
    <xf numFmtId="0" fontId="21" fillId="0" borderId="0" xfId="0" quotePrefix="1" applyFont="1" applyAlignment="1">
      <alignment horizontal="center" vertical="center"/>
    </xf>
    <xf numFmtId="0" fontId="22" fillId="0" borderId="0" xfId="0" applyFont="1"/>
    <xf numFmtId="177" fontId="0" fillId="0" borderId="6" xfId="0" applyNumberFormat="1" applyBorder="1" applyAlignment="1">
      <alignment horizontal="center"/>
    </xf>
    <xf numFmtId="3" fontId="0" fillId="0" borderId="6" xfId="0" applyNumberFormat="1" applyBorder="1" applyAlignment="1">
      <alignment horizontal="center" vertical="center"/>
    </xf>
    <xf numFmtId="4" fontId="0" fillId="0" borderId="6" xfId="0" applyNumberFormat="1" applyBorder="1" applyAlignment="1">
      <alignment horizontal="center" vertical="center"/>
    </xf>
    <xf numFmtId="171" fontId="35" fillId="0" borderId="6" xfId="2" applyNumberFormat="1" applyFont="1" applyBorder="1" applyAlignment="1">
      <alignment horizontal="center"/>
    </xf>
    <xf numFmtId="171" fontId="0" fillId="0" borderId="6" xfId="3" applyNumberFormat="1" applyFont="1" applyBorder="1" applyAlignment="1">
      <alignment horizontal="center"/>
    </xf>
    <xf numFmtId="172" fontId="0" fillId="0" borderId="6" xfId="0" applyNumberFormat="1" applyBorder="1" applyAlignment="1">
      <alignment horizontal="center"/>
    </xf>
    <xf numFmtId="3" fontId="0" fillId="0" borderId="0" xfId="0" applyNumberFormat="1" applyAlignment="1">
      <alignment horizontal="center" vertical="center"/>
    </xf>
    <xf numFmtId="171" fontId="25" fillId="0" borderId="0" xfId="3" applyNumberFormat="1" applyFont="1" applyBorder="1" applyAlignment="1">
      <alignment horizontal="center"/>
    </xf>
    <xf numFmtId="3" fontId="32" fillId="0" borderId="0" xfId="0" applyNumberFormat="1" applyFont="1" applyAlignment="1">
      <alignment horizontal="center" vertical="center"/>
    </xf>
    <xf numFmtId="171" fontId="0" fillId="0" borderId="0" xfId="3" applyNumberFormat="1" applyFont="1" applyBorder="1" applyAlignment="1">
      <alignment horizontal="center"/>
    </xf>
    <xf numFmtId="172" fontId="0" fillId="0" borderId="0" xfId="0" applyNumberFormat="1" applyAlignment="1">
      <alignment horizontal="center"/>
    </xf>
    <xf numFmtId="177" fontId="0" fillId="0" borderId="0" xfId="0" applyNumberFormat="1" applyAlignment="1">
      <alignment horizontal="center"/>
    </xf>
    <xf numFmtId="4" fontId="0" fillId="0" borderId="0" xfId="0" applyNumberFormat="1" applyAlignment="1">
      <alignment horizontal="center" vertical="center"/>
    </xf>
    <xf numFmtId="171" fontId="35" fillId="0" borderId="0" xfId="2" applyNumberFormat="1" applyFont="1" applyAlignment="1">
      <alignment horizontal="center"/>
    </xf>
    <xf numFmtId="171" fontId="0" fillId="0" borderId="0" xfId="3" applyNumberFormat="1" applyFont="1" applyAlignment="1">
      <alignment horizontal="center"/>
    </xf>
    <xf numFmtId="0" fontId="0" fillId="0" borderId="0" xfId="0" applyAlignment="1">
      <alignment vertical="center" wrapText="1"/>
    </xf>
    <xf numFmtId="0" fontId="21" fillId="10" borderId="8" xfId="0" applyFont="1" applyFill="1" applyBorder="1"/>
    <xf numFmtId="0" fontId="0" fillId="10" borderId="9" xfId="0" applyFill="1" applyBorder="1"/>
    <xf numFmtId="171" fontId="21" fillId="10" borderId="9" xfId="0" applyNumberFormat="1" applyFont="1" applyFill="1" applyBorder="1" applyAlignment="1">
      <alignment horizontal="center"/>
    </xf>
    <xf numFmtId="0" fontId="21" fillId="10" borderId="11" xfId="0" applyFont="1" applyFill="1" applyBorder="1"/>
    <xf numFmtId="0" fontId="0" fillId="10" borderId="4" xfId="0" applyFill="1" applyBorder="1"/>
    <xf numFmtId="171" fontId="21" fillId="10" borderId="4" xfId="0" applyNumberFormat="1" applyFont="1" applyFill="1" applyBorder="1" applyAlignment="1">
      <alignment horizontal="center"/>
    </xf>
    <xf numFmtId="172" fontId="0" fillId="0" borderId="0" xfId="0" applyNumberFormat="1" applyAlignment="1">
      <alignment horizontal="center" vertical="center"/>
    </xf>
    <xf numFmtId="1" fontId="0" fillId="0" borderId="0" xfId="0" quotePrefix="1" applyNumberFormat="1" applyAlignment="1">
      <alignment horizontal="center" vertical="center"/>
    </xf>
    <xf numFmtId="4" fontId="0" fillId="4" borderId="6" xfId="0" applyNumberFormat="1" applyFill="1" applyBorder="1" applyAlignment="1">
      <alignment horizontal="center" vertical="center"/>
    </xf>
    <xf numFmtId="3" fontId="0" fillId="4" borderId="0" xfId="0" applyNumberFormat="1" applyFill="1" applyAlignment="1">
      <alignment horizontal="center" vertical="center"/>
    </xf>
    <xf numFmtId="3" fontId="32" fillId="4" borderId="6" xfId="0" applyNumberFormat="1" applyFont="1" applyFill="1" applyBorder="1" applyAlignment="1">
      <alignment horizontal="center" vertical="center"/>
    </xf>
    <xf numFmtId="3" fontId="32" fillId="4" borderId="0" xfId="0" applyNumberFormat="1" applyFont="1" applyFill="1" applyAlignment="1">
      <alignment horizontal="center" vertical="center"/>
    </xf>
    <xf numFmtId="0" fontId="36" fillId="5" borderId="0" xfId="0" applyFont="1" applyFill="1" applyAlignment="1">
      <alignment vertical="center"/>
    </xf>
    <xf numFmtId="0" fontId="3" fillId="5" borderId="0" xfId="0" applyFont="1" applyFill="1" applyAlignment="1">
      <alignment horizontal="right" vertical="center"/>
    </xf>
    <xf numFmtId="0" fontId="36" fillId="5" borderId="0" xfId="0" applyFont="1" applyFill="1" applyAlignment="1">
      <alignment horizontal="center" vertical="center"/>
    </xf>
    <xf numFmtId="0" fontId="37" fillId="5" borderId="0" xfId="0" applyFont="1" applyFill="1" applyAlignment="1">
      <alignment horizontal="centerContinuous" vertical="center"/>
    </xf>
    <xf numFmtId="0" fontId="36" fillId="5" borderId="4" xfId="0" applyFont="1" applyFill="1" applyBorder="1" applyAlignment="1">
      <alignment vertical="center"/>
    </xf>
    <xf numFmtId="0" fontId="36" fillId="5" borderId="4" xfId="0" applyFont="1" applyFill="1" applyBorder="1" applyAlignment="1">
      <alignment horizontal="center" vertical="center"/>
    </xf>
    <xf numFmtId="0" fontId="36" fillId="5" borderId="4" xfId="0" quotePrefix="1" applyFont="1" applyFill="1" applyBorder="1" applyAlignment="1">
      <alignment horizontal="center" vertical="center"/>
    </xf>
    <xf numFmtId="0" fontId="36" fillId="5" borderId="0" xfId="0" applyFont="1" applyFill="1" applyAlignment="1">
      <alignment horizontal="centerContinuous" vertical="center"/>
    </xf>
    <xf numFmtId="10" fontId="38" fillId="4" borderId="6" xfId="3" applyNumberFormat="1" applyFont="1" applyFill="1" applyBorder="1" applyAlignment="1">
      <alignment horizontal="center" vertical="center"/>
    </xf>
    <xf numFmtId="10" fontId="38" fillId="4" borderId="0" xfId="3" applyNumberFormat="1" applyFont="1" applyFill="1" applyBorder="1" applyAlignment="1">
      <alignment horizontal="center" vertical="center"/>
    </xf>
    <xf numFmtId="0" fontId="0" fillId="0" borderId="0" xfId="0" applyFill="1" applyAlignment="1">
      <alignment horizontal="center"/>
    </xf>
    <xf numFmtId="0" fontId="1" fillId="0" borderId="0" xfId="0" applyFont="1" applyFill="1"/>
    <xf numFmtId="0" fontId="0" fillId="0" borderId="0" xfId="0" applyFill="1"/>
    <xf numFmtId="0" fontId="39" fillId="9" borderId="0" xfId="0" applyFont="1" applyFill="1"/>
    <xf numFmtId="0" fontId="24" fillId="9" borderId="0" xfId="0" applyFont="1" applyFill="1"/>
    <xf numFmtId="0" fontId="6" fillId="9" borderId="0" xfId="2" applyFill="1"/>
  </cellXfs>
  <cellStyles count="6">
    <cellStyle name="Hyperlink" xfId="2" builtinId="8"/>
    <cellStyle name="Normal" xfId="0" builtinId="0"/>
    <cellStyle name="Normal 2" xfId="1" xr:uid="{345E1C24-87D5-4DA7-B954-049716917B55}"/>
    <cellStyle name="Normal 3" xfId="4" xr:uid="{6D2DF874-F8D9-4412-92B6-CE7A3F6A51A5}"/>
    <cellStyle name="Percent" xfId="3" builtinId="5"/>
    <cellStyle name="Percent 2" xfId="5" xr:uid="{37AFFFD6-C1EF-4293-A525-A81AFA7D1A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4fc5d5c8c4852779/Desktop/Financial%20Database/Universe%20of%20Companies%20-%202025.03.05%20-%20UN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fc5d5c8c4852779/Desktop/Models/Palantir/2024.12.04%20-%20Palantir%20DC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fc5d5c8c4852779/Desktop/Models/Palantir/Models/Chipotle/2024.07.27%20-%20Chipotle%20DC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atabase"/>
      <sheetName val="Comps"/>
      <sheetName val="XLinkMeta"/>
    </sheetNames>
    <sheetDataSet>
      <sheetData sheetId="0"/>
      <sheetData sheetId="1">
        <row r="11">
          <cell r="B11" t="str">
            <v>NVDA</v>
          </cell>
          <cell r="C11" t="str">
            <v>NVIDIA Corporation</v>
          </cell>
          <cell r="D11" t="str">
            <v>Semiconductors</v>
          </cell>
          <cell r="E11">
            <v>24300</v>
          </cell>
          <cell r="F11">
            <v>24483</v>
          </cell>
          <cell r="G11">
            <v>4483206.9933000002</v>
          </cell>
          <cell r="H11">
            <v>4431955.5</v>
          </cell>
          <cell r="I11">
            <v>60608</v>
          </cell>
          <cell r="J11">
            <v>10822</v>
          </cell>
          <cell r="K11">
            <v>-49786</v>
          </cell>
          <cell r="L11">
            <v>4433420.9933000002</v>
          </cell>
          <cell r="M11">
            <v>4427048.0684000002</v>
          </cell>
          <cell r="O11">
            <v>183.11510000000001</v>
          </cell>
          <cell r="P11">
            <v>94.31</v>
          </cell>
          <cell r="Q11">
            <v>207.04</v>
          </cell>
          <cell r="R11">
            <v>0.88444310278207117</v>
          </cell>
          <cell r="S11">
            <v>199.05</v>
          </cell>
          <cell r="T11">
            <v>177.17</v>
          </cell>
          <cell r="U11">
            <v>141.97</v>
          </cell>
          <cell r="V11">
            <v>-8.0054760110525036E-2</v>
          </cell>
          <cell r="W11">
            <v>3.3555906756222997E-2</v>
          </cell>
          <cell r="X11">
            <v>0.28981545396914843</v>
          </cell>
          <cell r="Z11">
            <v>124754.333334</v>
          </cell>
          <cell r="AA11">
            <v>206053.02</v>
          </cell>
          <cell r="AB11">
            <v>315103.96999999997</v>
          </cell>
          <cell r="AC11">
            <v>308690.46999999997</v>
          </cell>
          <cell r="AD11">
            <v>147477.14000000001</v>
          </cell>
          <cell r="AE11">
            <v>233972.3</v>
          </cell>
          <cell r="AF11">
            <v>129834.38</v>
          </cell>
          <cell r="AG11">
            <v>208813.8</v>
          </cell>
          <cell r="AH11">
            <v>79792.666670000006</v>
          </cell>
          <cell r="AI11">
            <v>130845.25</v>
          </cell>
          <cell r="AJ11">
            <v>211991.45</v>
          </cell>
          <cell r="AK11">
            <v>207138.23</v>
          </cell>
          <cell r="AL11">
            <v>5503.3459999999995</v>
          </cell>
          <cell r="AM11">
            <v>5439.8804</v>
          </cell>
          <cell r="AN11">
            <v>125341.90399999999</v>
          </cell>
          <cell r="AO11">
            <v>206551.56960000002</v>
          </cell>
          <cell r="AP11">
            <v>110860.31</v>
          </cell>
          <cell r="AQ11">
            <v>177142.69</v>
          </cell>
          <cell r="AR11">
            <v>173189.98</v>
          </cell>
          <cell r="AS11">
            <v>0.65167024257459771</v>
          </cell>
          <cell r="AT11">
            <v>0.52923732930485556</v>
          </cell>
          <cell r="AU11">
            <v>0.71572423447130273</v>
          </cell>
          <cell r="AV11">
            <v>0.74252412624315722</v>
          </cell>
          <cell r="AW11">
            <v>0.63010180583618725</v>
          </cell>
          <cell r="AX11">
            <v>0.66268222517158382</v>
          </cell>
          <cell r="AY11">
            <v>0.63959835732819126</v>
          </cell>
          <cell r="AZ11">
            <v>0.63500767909152711</v>
          </cell>
          <cell r="BA11">
            <v>0.67276667444082039</v>
          </cell>
          <cell r="BB11">
            <v>0.60829928141795742</v>
          </cell>
          <cell r="BC11">
            <v>0.65550291099156899</v>
          </cell>
          <cell r="BD11">
            <v>0.53801837022335319</v>
          </cell>
          <cell r="BE11">
            <v>0.56217219351441372</v>
          </cell>
          <cell r="BF11">
            <v>2.8281399486073357E-2</v>
          </cell>
          <cell r="BG11">
            <v>4.6605063972325542E-2</v>
          </cell>
          <cell r="BI11">
            <v>14.341382383460042</v>
          </cell>
          <cell r="BJ11">
            <v>21.484994825118314</v>
          </cell>
          <cell r="BK11">
            <v>14.049483630434743</v>
          </cell>
          <cell r="BL11">
            <v>30.018537574026727</v>
          </cell>
          <cell r="BM11">
            <v>18.921248662341654</v>
          </cell>
          <cell r="BN11">
            <v>34.097656324927186</v>
          </cell>
          <cell r="BO11">
            <v>21.200936281031236</v>
          </cell>
          <cell r="BP11">
            <v>21.37243360822384</v>
          </cell>
          <cell r="BQ11">
            <v>33.83422836060155</v>
          </cell>
          <cell r="BR11">
            <v>20.883144430589063</v>
          </cell>
          <cell r="BS11">
            <v>35.319776763563446</v>
          </cell>
          <cell r="BT11">
            <v>21.433136901226433</v>
          </cell>
          <cell r="BU11">
            <v>25.590138066878925</v>
          </cell>
          <cell r="BV11">
            <v>39.977837875430801</v>
          </cell>
          <cell r="BW11">
            <v>25.019127235789409</v>
          </cell>
          <cell r="BY11">
            <v>16.143689047619102</v>
          </cell>
          <cell r="BZ11">
            <v>17.553490573558701</v>
          </cell>
          <cell r="CA11">
            <v>17.349827195704101</v>
          </cell>
          <cell r="CB11">
            <v>24.821203472222201</v>
          </cell>
          <cell r="CC11">
            <v>27.136773944333999</v>
          </cell>
          <cell r="CD11">
            <v>31.875613451073999</v>
          </cell>
          <cell r="CE11">
            <v>29.4423514206349</v>
          </cell>
          <cell r="CF11">
            <v>31.767069238568599</v>
          </cell>
          <cell r="CG11">
            <v>38.393440772474101</v>
          </cell>
          <cell r="CI11">
            <v>-0.11164156215117804</v>
          </cell>
          <cell r="CJ11">
            <v>-0.18298971231039052</v>
          </cell>
          <cell r="CK11">
            <v>-0.17339912255661916</v>
          </cell>
          <cell r="CL11">
            <v>-0.13894450637165656</v>
          </cell>
          <cell r="CM11">
            <v>-0.21241804010803278</v>
          </cell>
          <cell r="CN11">
            <v>-0.32950518298170262</v>
          </cell>
          <cell r="CO11">
            <v>-0.13083918803632377</v>
          </cell>
          <cell r="CP11">
            <v>-0.19444447724470038</v>
          </cell>
          <cell r="CQ11">
            <v>-0.3334763034516669</v>
          </cell>
        </row>
        <row r="12">
          <cell r="B12" t="str">
            <v>AMD</v>
          </cell>
          <cell r="C12" t="str">
            <v>Advanced Micro Devices, Inc.</v>
          </cell>
          <cell r="D12" t="str">
            <v>Semiconductors</v>
          </cell>
          <cell r="E12">
            <v>1628.0415</v>
          </cell>
          <cell r="F12">
            <v>1641</v>
          </cell>
          <cell r="G12">
            <v>361020</v>
          </cell>
          <cell r="H12">
            <v>358168.8</v>
          </cell>
          <cell r="I12">
            <v>7243</v>
          </cell>
          <cell r="J12">
            <v>3870</v>
          </cell>
          <cell r="K12">
            <v>-3373</v>
          </cell>
          <cell r="L12">
            <v>357647</v>
          </cell>
          <cell r="M12">
            <v>357318.8</v>
          </cell>
          <cell r="O12">
            <v>220</v>
          </cell>
          <cell r="P12">
            <v>78.209999999999994</v>
          </cell>
          <cell r="Q12">
            <v>264.33</v>
          </cell>
          <cell r="R12">
            <v>0.8322929671244278</v>
          </cell>
          <cell r="S12">
            <v>243.98</v>
          </cell>
          <cell r="T12">
            <v>155.66999999999999</v>
          </cell>
          <cell r="U12">
            <v>116.16</v>
          </cell>
          <cell r="V12">
            <v>-9.8286744815148763E-2</v>
          </cell>
          <cell r="W12">
            <v>0.41324596903706579</v>
          </cell>
          <cell r="X12">
            <v>0.89393939393939403</v>
          </cell>
          <cell r="Z12">
            <v>25785</v>
          </cell>
          <cell r="AA12">
            <v>34008.57</v>
          </cell>
          <cell r="AB12">
            <v>44728.555</v>
          </cell>
          <cell r="AC12">
            <v>44111.79</v>
          </cell>
          <cell r="AD12">
            <v>17749.976999999999</v>
          </cell>
          <cell r="AE12">
            <v>24709.05</v>
          </cell>
          <cell r="AF12">
            <v>7384.232</v>
          </cell>
          <cell r="AG12">
            <v>12118.371999999999</v>
          </cell>
          <cell r="AH12">
            <v>5185</v>
          </cell>
          <cell r="AI12">
            <v>6672.8325000000004</v>
          </cell>
          <cell r="AJ12">
            <v>10469.762000000001</v>
          </cell>
          <cell r="AK12">
            <v>10251.308999999999</v>
          </cell>
          <cell r="AL12">
            <v>953.92303000000004</v>
          </cell>
          <cell r="AM12">
            <v>973.83954000000006</v>
          </cell>
          <cell r="AN12">
            <v>5718.9094700000005</v>
          </cell>
          <cell r="AO12">
            <v>9495.9224599999998</v>
          </cell>
          <cell r="AP12">
            <v>6532.3076000000001</v>
          </cell>
          <cell r="AQ12">
            <v>10581.356</v>
          </cell>
          <cell r="AR12">
            <v>10348.397000000001</v>
          </cell>
          <cell r="AS12">
            <v>0.31892844677137866</v>
          </cell>
          <cell r="AT12">
            <v>0.31521422394414111</v>
          </cell>
          <cell r="AU12">
            <v>0.5219265908563635</v>
          </cell>
          <cell r="AV12">
            <v>0.55242227252814224</v>
          </cell>
          <cell r="AW12">
            <v>0.21712856494701188</v>
          </cell>
          <cell r="AX12">
            <v>0.27093144413004172</v>
          </cell>
          <cell r="AY12">
            <v>0.2010859026565833</v>
          </cell>
          <cell r="AZ12">
            <v>0.19621032286861814</v>
          </cell>
          <cell r="BA12">
            <v>0.23407333413744308</v>
          </cell>
          <cell r="BB12">
            <v>0.16816083328408105</v>
          </cell>
          <cell r="BC12">
            <v>0.21230112307451021</v>
          </cell>
          <cell r="BD12">
            <v>0.19207827909259342</v>
          </cell>
          <cell r="BE12">
            <v>0.23656825041631682</v>
          </cell>
          <cell r="BF12">
            <v>1.5967078846622042E-2</v>
          </cell>
          <cell r="BG12">
            <v>2.6512422243366814E-2</v>
          </cell>
          <cell r="BI12">
            <v>8.100301529364371</v>
          </cell>
          <cell r="BJ12">
            <v>10.506728157049826</v>
          </cell>
          <cell r="BK12">
            <v>7.9886059364090789</v>
          </cell>
          <cell r="BL12">
            <v>20.130662704520688</v>
          </cell>
          <cell r="BM12">
            <v>14.461049696366311</v>
          </cell>
          <cell r="BN12">
            <v>48.389433051399251</v>
          </cell>
          <cell r="BO12">
            <v>29.485709796662455</v>
          </cell>
          <cell r="BP12">
            <v>34.855919375759719</v>
          </cell>
          <cell r="BQ12">
            <v>53.548294521104786</v>
          </cell>
          <cell r="BR12">
            <v>34.12864590427175</v>
          </cell>
          <cell r="BS12">
            <v>62.480233665947495</v>
          </cell>
          <cell r="BT12">
            <v>37.628656036856476</v>
          </cell>
          <cell r="BU12">
            <v>34.611041690804861</v>
          </cell>
          <cell r="BV12">
            <v>54.830363469105464</v>
          </cell>
          <cell r="BW12">
            <v>33.849045434252474</v>
          </cell>
          <cell r="BY12">
            <v>6.52737472698412</v>
          </cell>
          <cell r="BZ12">
            <v>7.7182740944333998</v>
          </cell>
          <cell r="CA12">
            <v>6.9348538242641196</v>
          </cell>
          <cell r="CB12">
            <v>25.930398944444399</v>
          </cell>
          <cell r="CC12">
            <v>28.3702381729622</v>
          </cell>
          <cell r="CD12">
            <v>26.2312321909308</v>
          </cell>
          <cell r="CE12">
            <v>28.039306880952399</v>
          </cell>
          <cell r="CF12">
            <v>32.207210186878697</v>
          </cell>
          <cell r="CG12">
            <v>31.219099994829001</v>
          </cell>
          <cell r="CI12">
            <v>0.24097387819298666</v>
          </cell>
          <cell r="CJ12">
            <v>4.9496484610011215E-2</v>
          </cell>
          <cell r="CK12">
            <v>0.16805656393542234</v>
          </cell>
          <cell r="CL12">
            <v>0.34421068686363654</v>
          </cell>
          <cell r="CM12">
            <v>0.22860862722606945</v>
          </cell>
          <cell r="CN12">
            <v>0.32879458814789575</v>
          </cell>
          <cell r="CO12">
            <v>0.234375793872307</v>
          </cell>
          <cell r="CP12">
            <v>7.4636439790289222E-2</v>
          </cell>
          <cell r="CQ12">
            <v>0.10864956698103678</v>
          </cell>
        </row>
        <row r="13">
          <cell r="B13" t="str">
            <v>INTC</v>
          </cell>
          <cell r="C13" t="str">
            <v>Intel Corporation</v>
          </cell>
          <cell r="D13" t="str">
            <v>Semiconductors</v>
          </cell>
          <cell r="E13">
            <v>4770</v>
          </cell>
          <cell r="F13">
            <v>4531</v>
          </cell>
          <cell r="G13">
            <v>182621.95499999999</v>
          </cell>
          <cell r="H13">
            <v>192254.84</v>
          </cell>
          <cell r="I13">
            <v>30935</v>
          </cell>
          <cell r="J13">
            <v>46553</v>
          </cell>
          <cell r="K13">
            <v>15618</v>
          </cell>
          <cell r="L13">
            <v>198239.95499999999</v>
          </cell>
          <cell r="M13">
            <v>206577.66</v>
          </cell>
          <cell r="O13">
            <v>40.305</v>
          </cell>
          <cell r="P13">
            <v>18.13</v>
          </cell>
          <cell r="Q13">
            <v>43.76</v>
          </cell>
          <cell r="R13">
            <v>0.92104661791590492</v>
          </cell>
          <cell r="S13">
            <v>38.450000000000003</v>
          </cell>
          <cell r="T13">
            <v>24.61</v>
          </cell>
          <cell r="U13">
            <v>20.14</v>
          </cell>
          <cell r="V13">
            <v>4.8244473342002436E-2</v>
          </cell>
          <cell r="W13">
            <v>0.63774888256806173</v>
          </cell>
          <cell r="X13">
            <v>1.0012413108242302</v>
          </cell>
          <cell r="Z13">
            <v>53101</v>
          </cell>
          <cell r="AA13">
            <v>52541.445</v>
          </cell>
          <cell r="AB13">
            <v>53801.754000000001</v>
          </cell>
          <cell r="AC13">
            <v>53729.245999999999</v>
          </cell>
          <cell r="AD13">
            <v>18970.991999999998</v>
          </cell>
          <cell r="AE13">
            <v>20256.705000000002</v>
          </cell>
          <cell r="AF13">
            <v>2507.9639000000002</v>
          </cell>
          <cell r="AG13">
            <v>4506.7466000000004</v>
          </cell>
          <cell r="AH13">
            <v>6671</v>
          </cell>
          <cell r="AI13">
            <v>13229.835999999999</v>
          </cell>
          <cell r="AJ13">
            <v>16505.026999999998</v>
          </cell>
          <cell r="AK13">
            <v>16316.592000000001</v>
          </cell>
          <cell r="AL13">
            <v>17337.900000000001</v>
          </cell>
          <cell r="AM13">
            <v>16385.559000000001</v>
          </cell>
          <cell r="AN13">
            <v>-4108.0640000000021</v>
          </cell>
          <cell r="AO13">
            <v>119.46799999999712</v>
          </cell>
          <cell r="AP13">
            <v>1510.2529999999999</v>
          </cell>
          <cell r="AQ13">
            <v>2986.8782000000001</v>
          </cell>
          <cell r="AR13">
            <v>2901.9216000000001</v>
          </cell>
          <cell r="AS13">
            <v>-1.0537560497919096E-2</v>
          </cell>
          <cell r="AT13">
            <v>2.3986949730826712E-2</v>
          </cell>
          <cell r="AU13">
            <v>0.3610671918140051</v>
          </cell>
          <cell r="AV13">
            <v>0.37650640534879221</v>
          </cell>
          <cell r="AW13">
            <v>4.7733059111716478E-2</v>
          </cell>
          <cell r="AX13">
            <v>8.3765793211871872E-2</v>
          </cell>
          <cell r="AY13">
            <v>0.12562851923692586</v>
          </cell>
          <cell r="AZ13">
            <v>0.25179809957643912</v>
          </cell>
          <cell r="BA13">
            <v>0.30677488693026622</v>
          </cell>
          <cell r="BB13">
            <v>-7.8187114952776846E-2</v>
          </cell>
          <cell r="BC13">
            <v>2.220522401555851E-3</v>
          </cell>
          <cell r="BD13">
            <v>2.8744032449050459E-2</v>
          </cell>
          <cell r="BE13">
            <v>5.551637219857182E-2</v>
          </cell>
          <cell r="BF13">
            <v>-2.1367805356681799E-2</v>
          </cell>
          <cell r="BG13">
            <v>6.2140438180904639E-4</v>
          </cell>
          <cell r="BI13">
            <v>3.8447898561613911</v>
          </cell>
          <cell r="BJ13">
            <v>3.9317087681924243</v>
          </cell>
          <cell r="BK13">
            <v>3.8396082774550435</v>
          </cell>
          <cell r="BL13">
            <v>10.889133261982295</v>
          </cell>
          <cell r="BM13">
            <v>10.197989258371488</v>
          </cell>
          <cell r="BN13">
            <v>82.368673647973949</v>
          </cell>
          <cell r="BO13">
            <v>45.837425161645427</v>
          </cell>
          <cell r="BP13">
            <v>12.660588681754131</v>
          </cell>
          <cell r="BQ13">
            <v>15.614529159696312</v>
          </cell>
          <cell r="BR13">
            <v>12.516044960120333</v>
          </cell>
          <cell r="BS13" t="str">
            <v>--</v>
          </cell>
          <cell r="BT13" t="str">
            <v>--</v>
          </cell>
          <cell r="BU13">
            <v>66.250873214493453</v>
          </cell>
          <cell r="BV13" t="str">
            <v>--</v>
          </cell>
          <cell r="BW13">
            <v>64.366481365058675</v>
          </cell>
          <cell r="BY13">
            <v>2.6995418047619002</v>
          </cell>
          <cell r="BZ13">
            <v>2.8055115906560602</v>
          </cell>
          <cell r="CA13">
            <v>2.83628192856006</v>
          </cell>
          <cell r="CB13">
            <v>9.3991993694444407</v>
          </cell>
          <cell r="CC13">
            <v>9.6769147415507</v>
          </cell>
          <cell r="CD13">
            <v>8.7127034856006293</v>
          </cell>
          <cell r="CE13">
            <v>43.585360523809598</v>
          </cell>
          <cell r="CF13">
            <v>34.090006071570599</v>
          </cell>
          <cell r="CG13">
            <v>24.4767722549722</v>
          </cell>
          <cell r="CI13">
            <v>0.42423793896405382</v>
          </cell>
          <cell r="CJ13">
            <v>0.37044162247153611</v>
          </cell>
          <cell r="CK13">
            <v>0.35557393552669003</v>
          </cell>
          <cell r="CL13">
            <v>0.34698586380793639</v>
          </cell>
          <cell r="CM13">
            <v>0.30832905113777054</v>
          </cell>
          <cell r="CN13">
            <v>0.45311827754475065</v>
          </cell>
          <cell r="CO13">
            <v>0.52002581642756507</v>
          </cell>
          <cell r="CP13">
            <v>0.94341042578292322</v>
          </cell>
          <cell r="CQ13">
            <v>1.7066834027119437</v>
          </cell>
        </row>
        <row r="14">
          <cell r="B14" t="str">
            <v>QCOM</v>
          </cell>
          <cell r="C14" t="str">
            <v>QUALCOMM Incorporated</v>
          </cell>
          <cell r="D14" t="str">
            <v>Semiconductors</v>
          </cell>
          <cell r="E14">
            <v>1071</v>
          </cell>
          <cell r="F14">
            <v>1078</v>
          </cell>
          <cell r="G14">
            <v>193360.86000000002</v>
          </cell>
          <cell r="H14">
            <v>192105.27</v>
          </cell>
          <cell r="I14">
            <v>12478</v>
          </cell>
          <cell r="J14">
            <v>15643</v>
          </cell>
          <cell r="K14">
            <v>3165</v>
          </cell>
          <cell r="L14">
            <v>196525.86000000002</v>
          </cell>
          <cell r="M14">
            <v>201791.84400000001</v>
          </cell>
          <cell r="O14">
            <v>179.37</v>
          </cell>
          <cell r="P14">
            <v>124.66</v>
          </cell>
          <cell r="Q14">
            <v>187.68</v>
          </cell>
          <cell r="R14">
            <v>0.95572250639386191</v>
          </cell>
          <cell r="S14">
            <v>171.57</v>
          </cell>
          <cell r="T14">
            <v>161.51</v>
          </cell>
          <cell r="U14">
            <v>154.72</v>
          </cell>
          <cell r="V14">
            <v>4.5462493442909757E-2</v>
          </cell>
          <cell r="W14">
            <v>0.11058138814934071</v>
          </cell>
          <cell r="X14">
            <v>0.15932006204756988</v>
          </cell>
          <cell r="Z14">
            <v>40695</v>
          </cell>
          <cell r="AA14">
            <v>43920.207000000002</v>
          </cell>
          <cell r="AB14">
            <v>45763.605000000003</v>
          </cell>
          <cell r="AC14">
            <v>45719.343999999997</v>
          </cell>
          <cell r="AD14">
            <v>24528.129000000001</v>
          </cell>
          <cell r="AE14">
            <v>25526.384999999998</v>
          </cell>
          <cell r="AF14">
            <v>15205.522999999999</v>
          </cell>
          <cell r="AG14">
            <v>15279.625</v>
          </cell>
          <cell r="AH14">
            <v>12609</v>
          </cell>
          <cell r="AI14">
            <v>16845.136999999999</v>
          </cell>
          <cell r="AJ14">
            <v>16669.107</v>
          </cell>
          <cell r="AK14">
            <v>16674.96</v>
          </cell>
          <cell r="AL14">
            <v>1251.1597999999999</v>
          </cell>
          <cell r="AM14">
            <v>1567.0697</v>
          </cell>
          <cell r="AN14">
            <v>15593.977199999999</v>
          </cell>
          <cell r="AO14">
            <v>15102.0373</v>
          </cell>
          <cell r="AP14">
            <v>13177.722</v>
          </cell>
          <cell r="AQ14">
            <v>13241.736999999999</v>
          </cell>
          <cell r="AR14">
            <v>13201.55</v>
          </cell>
          <cell r="AS14">
            <v>7.9253151492812535E-2</v>
          </cell>
          <cell r="AT14">
            <v>4.1971523494868768E-2</v>
          </cell>
          <cell r="AU14">
            <v>0.55847025037928444</v>
          </cell>
          <cell r="AV14">
            <v>0.55778789717287347</v>
          </cell>
          <cell r="AW14">
            <v>0.34620790835525883</v>
          </cell>
          <cell r="AX14">
            <v>0.33388158559623959</v>
          </cell>
          <cell r="AY14">
            <v>0.30984150387025433</v>
          </cell>
          <cell r="AZ14">
            <v>0.38353956300797942</v>
          </cell>
          <cell r="BA14">
            <v>0.36424374784285457</v>
          </cell>
          <cell r="BB14">
            <v>0.35505245228010873</v>
          </cell>
          <cell r="BC14">
            <v>0.33000104122041957</v>
          </cell>
          <cell r="BD14">
            <v>0.3000377935377217</v>
          </cell>
          <cell r="BE14">
            <v>0.28935082802152495</v>
          </cell>
          <cell r="BF14">
            <v>8.1174124999277744E-2</v>
          </cell>
          <cell r="BG14">
            <v>7.8613342049387816E-2</v>
          </cell>
          <cell r="BI14">
            <v>4.4137082106864884</v>
          </cell>
          <cell r="BJ14">
            <v>4.5945103127587723</v>
          </cell>
          <cell r="BK14">
            <v>4.409439422440605</v>
          </cell>
          <cell r="BL14">
            <v>8.2269562427692708</v>
          </cell>
          <cell r="BM14">
            <v>7.9052260631499536</v>
          </cell>
          <cell r="BN14">
            <v>13.270957138402936</v>
          </cell>
          <cell r="BO14">
            <v>13.206596627862268</v>
          </cell>
          <cell r="BP14">
            <v>12.101488939103904</v>
          </cell>
          <cell r="BQ14">
            <v>11.979234363009338</v>
          </cell>
          <cell r="BR14">
            <v>12.105738117824789</v>
          </cell>
          <cell r="BS14">
            <v>12.940370593846964</v>
          </cell>
          <cell r="BT14">
            <v>13.361895484127828</v>
          </cell>
          <cell r="BU14">
            <v>14.55172082066121</v>
          </cell>
          <cell r="BV14">
            <v>14.578033289820501</v>
          </cell>
          <cell r="BW14">
            <v>14.507558185153504</v>
          </cell>
          <cell r="BY14">
            <v>4.0303067043650804</v>
          </cell>
          <cell r="BZ14">
            <v>4.39810519761431</v>
          </cell>
          <cell r="CA14">
            <v>4.2306028444709698</v>
          </cell>
          <cell r="CB14">
            <v>10.8910253234127</v>
          </cell>
          <cell r="CC14">
            <v>12.0286635119284</v>
          </cell>
          <cell r="CD14">
            <v>11.3193797469372</v>
          </cell>
          <cell r="CE14">
            <v>13.265681908730199</v>
          </cell>
          <cell r="CF14">
            <v>14.5695858190855</v>
          </cell>
          <cell r="CG14">
            <v>14.018815215990401</v>
          </cell>
          <cell r="CI14">
            <v>9.5129610336146309E-2</v>
          </cell>
          <cell r="CJ14">
            <v>3.5476670909651009E-3</v>
          </cell>
          <cell r="CK14">
            <v>4.3281152343293439E-2</v>
          </cell>
          <cell r="CL14">
            <v>0.11114321927881665</v>
          </cell>
          <cell r="CM14">
            <v>6.0543240820798427E-3</v>
          </cell>
          <cell r="CN14">
            <v>6.9094703919472922E-2</v>
          </cell>
          <cell r="CO14">
            <v>9.6944802444317801E-2</v>
          </cell>
          <cell r="CP14">
            <v>-1.2261843710675846E-3</v>
          </cell>
          <cell r="CQ14">
            <v>3.8013597901123353E-2</v>
          </cell>
        </row>
        <row r="15">
          <cell r="B15" t="str">
            <v>AVGO</v>
          </cell>
          <cell r="C15" t="str">
            <v>Broadcom Inc.</v>
          </cell>
          <cell r="D15" t="str">
            <v>Semiconductors</v>
          </cell>
          <cell r="E15">
            <v>4722.3649999999998</v>
          </cell>
          <cell r="F15">
            <v>4860</v>
          </cell>
          <cell r="G15">
            <v>1973545.8840000001</v>
          </cell>
          <cell r="H15">
            <v>1897967.8</v>
          </cell>
          <cell r="I15">
            <v>10718</v>
          </cell>
          <cell r="J15">
            <v>64229</v>
          </cell>
          <cell r="K15">
            <v>53511</v>
          </cell>
          <cell r="L15">
            <v>2027056.8840000001</v>
          </cell>
          <cell r="M15">
            <v>2008154.4</v>
          </cell>
          <cell r="O15">
            <v>406.07940000000002</v>
          </cell>
          <cell r="P15">
            <v>146.29</v>
          </cell>
          <cell r="Q15">
            <v>406.29</v>
          </cell>
          <cell r="R15">
            <v>0.99948165103743636</v>
          </cell>
          <cell r="S15">
            <v>358.39</v>
          </cell>
          <cell r="T15">
            <v>359.63</v>
          </cell>
          <cell r="U15">
            <v>248.7</v>
          </cell>
          <cell r="V15">
            <v>0.13306565473367016</v>
          </cell>
          <cell r="W15">
            <v>0.12915885771487368</v>
          </cell>
          <cell r="X15">
            <v>0.6328082026538</v>
          </cell>
          <cell r="Z15">
            <v>53544</v>
          </cell>
          <cell r="AA15">
            <v>67229.66</v>
          </cell>
          <cell r="AB15">
            <v>92591.16</v>
          </cell>
          <cell r="AC15">
            <v>90916.61</v>
          </cell>
          <cell r="AD15">
            <v>52392.563000000002</v>
          </cell>
          <cell r="AE15">
            <v>68941.83</v>
          </cell>
          <cell r="AF15">
            <v>44092.167999999998</v>
          </cell>
          <cell r="AG15">
            <v>60535.79</v>
          </cell>
          <cell r="AH15">
            <v>27580</v>
          </cell>
          <cell r="AI15">
            <v>44767.574000000001</v>
          </cell>
          <cell r="AJ15">
            <v>61019.133000000002</v>
          </cell>
          <cell r="AK15">
            <v>60098.656000000003</v>
          </cell>
          <cell r="AL15">
            <v>567.68780000000004</v>
          </cell>
          <cell r="AM15">
            <v>694.05359999999996</v>
          </cell>
          <cell r="AN15">
            <v>44199.886200000001</v>
          </cell>
          <cell r="AO15">
            <v>60325.079400000002</v>
          </cell>
          <cell r="AP15">
            <v>35485.792999999998</v>
          </cell>
          <cell r="AQ15">
            <v>49592.57</v>
          </cell>
          <cell r="AR15">
            <v>48655.31</v>
          </cell>
          <cell r="AS15">
            <v>0.25559651875093392</v>
          </cell>
          <cell r="AT15">
            <v>0.377236773174221</v>
          </cell>
          <cell r="AU15">
            <v>0.77930727301015656</v>
          </cell>
          <cell r="AV15">
            <v>0.74458328419257302</v>
          </cell>
          <cell r="AW15">
            <v>0.65584398314672421</v>
          </cell>
          <cell r="AX15">
            <v>0.65379664754173072</v>
          </cell>
          <cell r="AY15">
            <v>0.51509039294785597</v>
          </cell>
          <cell r="AZ15">
            <v>0.66589023356655375</v>
          </cell>
          <cell r="BA15">
            <v>0.6590168327084357</v>
          </cell>
          <cell r="BB15">
            <v>0.65744622537136133</v>
          </cell>
          <cell r="BC15">
            <v>0.65152093785195042</v>
          </cell>
          <cell r="BD15">
            <v>0.52782942826127632</v>
          </cell>
          <cell r="BE15">
            <v>0.53560804292764019</v>
          </cell>
          <cell r="BF15">
            <v>2.3288006361330261E-2</v>
          </cell>
          <cell r="BG15">
            <v>3.1784037326660651E-2</v>
          </cell>
          <cell r="BI15">
            <v>22.087871512147228</v>
          </cell>
          <cell r="BJ15">
            <v>29.870066277294871</v>
          </cell>
          <cell r="BK15">
            <v>21.688403082972499</v>
          </cell>
          <cell r="BL15">
            <v>38.328997189925595</v>
          </cell>
          <cell r="BM15">
            <v>29.128243332096055</v>
          </cell>
          <cell r="BN15">
            <v>45.544469484920768</v>
          </cell>
          <cell r="BO15">
            <v>33.173010544671172</v>
          </cell>
          <cell r="BP15">
            <v>33.414297983635436</v>
          </cell>
          <cell r="BQ15">
            <v>44.857342504197341</v>
          </cell>
          <cell r="BR15">
            <v>32.910241448366691</v>
          </cell>
          <cell r="BS15">
            <v>45.433474441841433</v>
          </cell>
          <cell r="BT15">
            <v>33.28888117468437</v>
          </cell>
          <cell r="BU15">
            <v>39.008441216385222</v>
          </cell>
          <cell r="BV15">
            <v>53.485286351075771</v>
          </cell>
          <cell r="BW15">
            <v>38.271212804660053</v>
          </cell>
          <cell r="BY15">
            <v>18.337108857142901</v>
          </cell>
          <cell r="BZ15">
            <v>15.7549975228628</v>
          </cell>
          <cell r="CA15">
            <v>11.4338640988862</v>
          </cell>
          <cell r="CB15">
            <v>27.475005920634899</v>
          </cell>
          <cell r="CC15">
            <v>24.303507815109299</v>
          </cell>
          <cell r="CD15">
            <v>18.0574920027844</v>
          </cell>
          <cell r="CE15">
            <v>34.0228338492063</v>
          </cell>
          <cell r="CF15">
            <v>30.215838825049701</v>
          </cell>
          <cell r="CG15">
            <v>21.745774337708799</v>
          </cell>
          <cell r="CI15">
            <v>0.20454493040451593</v>
          </cell>
          <cell r="CJ15">
            <v>0.40195969438233825</v>
          </cell>
          <cell r="CK15">
            <v>0.93179412673785933</v>
          </cell>
          <cell r="CL15">
            <v>0.21617072914040292</v>
          </cell>
          <cell r="CM15">
            <v>0.3748755215846673</v>
          </cell>
          <cell r="CN15">
            <v>0.85043958366328343</v>
          </cell>
          <cell r="CO15">
            <v>0.14653709885766109</v>
          </cell>
          <cell r="CP15">
            <v>0.29099315899336298</v>
          </cell>
          <cell r="CQ15">
            <v>0.79384006338839219</v>
          </cell>
        </row>
        <row r="16">
          <cell r="B16" t="str">
            <v>TI</v>
          </cell>
          <cell r="C16" t="str">
            <v>Telecom Italia S.p.A. Sponsored ADR</v>
          </cell>
          <cell r="D16" t="str">
            <v>Wireless Telecommunications</v>
          </cell>
          <cell r="E16">
            <v>1532.9467</v>
          </cell>
          <cell r="F16">
            <v>2126.0819197999999</v>
          </cell>
          <cell r="G16">
            <v>12129.297352459</v>
          </cell>
          <cell r="H16">
            <v>8690.4590000000007</v>
          </cell>
          <cell r="I16">
            <v>2076.2249999999999</v>
          </cell>
          <cell r="J16">
            <v>17207.875</v>
          </cell>
          <cell r="K16">
            <v>15131.65</v>
          </cell>
          <cell r="L16">
            <v>27260.947352458999</v>
          </cell>
          <cell r="M16">
            <v>28772.4710113908</v>
          </cell>
          <cell r="O16">
            <v>5.7050000000000001</v>
          </cell>
          <cell r="P16">
            <v>2.5019999999999998</v>
          </cell>
          <cell r="Q16">
            <v>6.0529999999999999</v>
          </cell>
          <cell r="R16">
            <v>0.9425078473484223</v>
          </cell>
          <cell r="S16">
            <v>5.6820000000000004</v>
          </cell>
          <cell r="T16">
            <v>5.1870000000000003</v>
          </cell>
          <cell r="U16">
            <v>4.3289999999999997</v>
          </cell>
          <cell r="V16">
            <v>4.0478704681450317E-3</v>
          </cell>
          <cell r="W16">
            <v>9.986504723346834E-2</v>
          </cell>
          <cell r="X16">
            <v>0.31785631785631785</v>
          </cell>
          <cell r="Z16">
            <v>15621.7779028153</v>
          </cell>
          <cell r="AA16">
            <v>15929.217000000001</v>
          </cell>
          <cell r="AB16">
            <v>16432.150000000001</v>
          </cell>
          <cell r="AC16">
            <v>16403.215</v>
          </cell>
          <cell r="AD16">
            <v>8412.8700000000008</v>
          </cell>
          <cell r="AE16">
            <v>8608.5720000000001</v>
          </cell>
          <cell r="AF16">
            <v>1512.8451</v>
          </cell>
          <cell r="AG16">
            <v>2003.1559</v>
          </cell>
          <cell r="AH16">
            <v>5045.0056800000002</v>
          </cell>
          <cell r="AI16">
            <v>4954.1279999999997</v>
          </cell>
          <cell r="AJ16">
            <v>5364.643</v>
          </cell>
          <cell r="AK16">
            <v>5341.0244000000002</v>
          </cell>
          <cell r="AL16">
            <v>2244.1545000000001</v>
          </cell>
          <cell r="AM16">
            <v>2219.3523</v>
          </cell>
          <cell r="AN16">
            <v>2709.9734999999996</v>
          </cell>
          <cell r="AO16">
            <v>3145.2907</v>
          </cell>
          <cell r="AP16">
            <v>81.614943999999994</v>
          </cell>
          <cell r="AQ16">
            <v>468.57006999999999</v>
          </cell>
          <cell r="AR16">
            <v>446.30689999999998</v>
          </cell>
          <cell r="AS16">
            <v>1.9680160548774417E-2</v>
          </cell>
          <cell r="AT16">
            <v>3.1572989431935206E-2</v>
          </cell>
          <cell r="AU16">
            <v>0.52814083705432602</v>
          </cell>
          <cell r="AV16">
            <v>0.52388591876291291</v>
          </cell>
          <cell r="AW16">
            <v>9.49729732478376E-2</v>
          </cell>
          <cell r="AX16">
            <v>0.12190467467738549</v>
          </cell>
          <cell r="AY16">
            <v>0.32294695977535359</v>
          </cell>
          <cell r="AZ16">
            <v>0.31100888386415976</v>
          </cell>
          <cell r="BA16">
            <v>0.32647237275706464</v>
          </cell>
          <cell r="BB16">
            <v>0.17012597041022165</v>
          </cell>
          <cell r="BC16">
            <v>0.19141078312941398</v>
          </cell>
          <cell r="BD16">
            <v>5.1236004883353642E-3</v>
          </cell>
          <cell r="BE16">
            <v>2.8515445026974555E-2</v>
          </cell>
          <cell r="BF16">
            <v>0.31183318395495557</v>
          </cell>
          <cell r="BG16">
            <v>0.36192457728642408</v>
          </cell>
          <cell r="BI16">
            <v>1.7540751012158775</v>
          </cell>
          <cell r="BJ16">
            <v>1.8062702649722708</v>
          </cell>
          <cell r="BK16">
            <v>1.7509863901796658</v>
          </cell>
          <cell r="BL16">
            <v>3.4200541564758278</v>
          </cell>
          <cell r="BM16">
            <v>3.3423047412963265</v>
          </cell>
          <cell r="BN16">
            <v>19.018781903970737</v>
          </cell>
          <cell r="BO16">
            <v>14.363570509609762</v>
          </cell>
          <cell r="BP16">
            <v>5.3870697560173664</v>
          </cell>
          <cell r="BQ16">
            <v>5.8077770722498094</v>
          </cell>
          <cell r="BR16">
            <v>5.3633524190502149</v>
          </cell>
          <cell r="BS16">
            <v>10.617251796517865</v>
          </cell>
          <cell r="BT16">
            <v>9.1477938784452579</v>
          </cell>
          <cell r="BU16">
            <v>19.471935119085099</v>
          </cell>
          <cell r="BV16" t="str">
            <v>--</v>
          </cell>
          <cell r="BW16">
            <v>18.546765054797461</v>
          </cell>
          <cell r="BY16">
            <v>1.4968211190476199</v>
          </cell>
          <cell r="BZ16">
            <v>1.7677110262425499</v>
          </cell>
          <cell r="CA16">
            <v>2.0952907342084299</v>
          </cell>
          <cell r="CB16">
            <v>4.7309744376984098</v>
          </cell>
          <cell r="CC16">
            <v>5.1622254500994096</v>
          </cell>
          <cell r="CD16">
            <v>5.6242547864757402</v>
          </cell>
          <cell r="CE16">
            <v>45.328173809523797</v>
          </cell>
          <cell r="CF16">
            <v>50.019382076923101</v>
          </cell>
          <cell r="CG16">
            <v>209.171015507692</v>
          </cell>
          <cell r="CI16">
            <v>0.17186688435552022</v>
          </cell>
          <cell r="CJ16">
            <v>-7.7138880870460946E-3</v>
          </cell>
          <cell r="CK16">
            <v>-0.16284882447182614</v>
          </cell>
          <cell r="CL16">
            <v>0.13868079968703939</v>
          </cell>
          <cell r="CM16">
            <v>4.3555692809508439E-2</v>
          </cell>
          <cell r="CN16">
            <v>-4.2171814660444729E-2</v>
          </cell>
          <cell r="CO16">
            <v>-0.5704231279885823</v>
          </cell>
          <cell r="CP16">
            <v>-0.61071220173932028</v>
          </cell>
          <cell r="CQ16">
            <v>-0.90690901857590756</v>
          </cell>
        </row>
        <row r="17">
          <cell r="B17" t="str">
            <v>MU</v>
          </cell>
          <cell r="C17" t="str">
            <v>Micron Technology, Inc.</v>
          </cell>
          <cell r="D17" t="str">
            <v>Semiconductors</v>
          </cell>
          <cell r="E17">
            <v>1125.3497</v>
          </cell>
          <cell r="F17">
            <v>1131</v>
          </cell>
          <cell r="G17">
            <v>292026.91440000001</v>
          </cell>
          <cell r="H17">
            <v>290568.06</v>
          </cell>
          <cell r="I17">
            <v>10311</v>
          </cell>
          <cell r="J17">
            <v>15352</v>
          </cell>
          <cell r="K17">
            <v>5041</v>
          </cell>
          <cell r="L17">
            <v>297067.91440000001</v>
          </cell>
          <cell r="M17">
            <v>293828.5</v>
          </cell>
          <cell r="O17">
            <v>258.20240000000001</v>
          </cell>
          <cell r="P17">
            <v>64.72</v>
          </cell>
          <cell r="Q17">
            <v>258.20240000000001</v>
          </cell>
          <cell r="R17">
            <v>1</v>
          </cell>
          <cell r="S17">
            <v>253.3</v>
          </cell>
          <cell r="T17">
            <v>150.57</v>
          </cell>
          <cell r="U17">
            <v>115.6</v>
          </cell>
          <cell r="V17">
            <v>1.9354125542834666E-2</v>
          </cell>
          <cell r="W17">
            <v>0.71483296805472563</v>
          </cell>
          <cell r="X17">
            <v>1.2335847750865052</v>
          </cell>
          <cell r="Z17">
            <v>29837</v>
          </cell>
          <cell r="AA17">
            <v>41112.574000000001</v>
          </cell>
          <cell r="AB17">
            <v>60286.42</v>
          </cell>
          <cell r="AC17">
            <v>59700.457000000002</v>
          </cell>
          <cell r="AD17">
            <v>17589.2</v>
          </cell>
          <cell r="AE17">
            <v>30519.535</v>
          </cell>
          <cell r="AF17">
            <v>12889.548000000001</v>
          </cell>
          <cell r="AG17">
            <v>26733.092000000001</v>
          </cell>
          <cell r="AH17">
            <v>12971.333339999999</v>
          </cell>
          <cell r="AI17">
            <v>21138.151999999998</v>
          </cell>
          <cell r="AJ17">
            <v>38598.222999999998</v>
          </cell>
          <cell r="AK17">
            <v>38141.313000000002</v>
          </cell>
          <cell r="AL17">
            <v>14709.097</v>
          </cell>
          <cell r="AM17">
            <v>19984.011999999999</v>
          </cell>
          <cell r="AN17">
            <v>6429.0549999999985</v>
          </cell>
          <cell r="AO17">
            <v>18614.210999999999</v>
          </cell>
          <cell r="AP17">
            <v>10981.707</v>
          </cell>
          <cell r="AQ17">
            <v>22328.937999999998</v>
          </cell>
          <cell r="AR17">
            <v>22074.66</v>
          </cell>
          <cell r="AS17">
            <v>0.37790575459999332</v>
          </cell>
          <cell r="AT17">
            <v>0.46637425328805726</v>
          </cell>
          <cell r="AU17">
            <v>0.4278301815887276</v>
          </cell>
          <cell r="AV17">
            <v>0.50624228474671407</v>
          </cell>
          <cell r="AW17">
            <v>0.31351838977535196</v>
          </cell>
          <cell r="AX17">
            <v>0.4434347237736127</v>
          </cell>
          <cell r="AY17">
            <v>0.43473986459764719</v>
          </cell>
          <cell r="AZ17">
            <v>0.51415296935677146</v>
          </cell>
          <cell r="BA17">
            <v>0.64024738904715195</v>
          </cell>
          <cell r="BB17">
            <v>0.15637685443874175</v>
          </cell>
          <cell r="BC17">
            <v>0.30876291874687534</v>
          </cell>
          <cell r="BD17">
            <v>0.26711309780798448</v>
          </cell>
          <cell r="BE17">
            <v>0.37038089174975058</v>
          </cell>
          <cell r="BF17">
            <v>2.2125814516571432E-2</v>
          </cell>
          <cell r="BG17">
            <v>6.4061449148953259E-2</v>
          </cell>
          <cell r="BI17">
            <v>4.9217127433379613</v>
          </cell>
          <cell r="BJ17">
            <v>7.1469254150810402</v>
          </cell>
          <cell r="BK17">
            <v>4.8738754100840618</v>
          </cell>
          <cell r="BL17">
            <v>16.705051963704999</v>
          </cell>
          <cell r="BM17">
            <v>9.6275549414497963</v>
          </cell>
          <cell r="BN17">
            <v>22.795873059319067</v>
          </cell>
          <cell r="BO17">
            <v>10.991190244660064</v>
          </cell>
          <cell r="BP17">
            <v>7.7036807830920759</v>
          </cell>
          <cell r="BQ17">
            <v>13.90038731862653</v>
          </cell>
          <cell r="BR17">
            <v>7.6124877562368614</v>
          </cell>
          <cell r="BS17">
            <v>45.703217657960629</v>
          </cell>
          <cell r="BT17">
            <v>15.785170803103071</v>
          </cell>
          <cell r="BU17">
            <v>13.162968761466768</v>
          </cell>
          <cell r="BV17">
            <v>26.459279964398977</v>
          </cell>
          <cell r="BW17">
            <v>13.013071199355743</v>
          </cell>
          <cell r="BY17">
            <v>3.1997857226190498</v>
          </cell>
          <cell r="BZ17">
            <v>3.46151206282306</v>
          </cell>
          <cell r="CA17">
            <v>3.1513297841686501</v>
          </cell>
          <cell r="CB17">
            <v>5.8805030849206297</v>
          </cell>
          <cell r="CC17">
            <v>6.8329380236580501</v>
          </cell>
          <cell r="CD17">
            <v>6.8216990217979303</v>
          </cell>
          <cell r="CE17">
            <v>10.5515281960317</v>
          </cell>
          <cell r="CF17">
            <v>17.215658520676001</v>
          </cell>
          <cell r="CG17">
            <v>18.562329022146301</v>
          </cell>
          <cell r="CI17">
            <v>0.53813822861535265</v>
          </cell>
          <cell r="CJ17">
            <v>0.42183896921740738</v>
          </cell>
          <cell r="CK17">
            <v>0.56178917486300306</v>
          </cell>
          <cell r="CL17">
            <v>0.31003770797206442</v>
          </cell>
          <cell r="CM17">
            <v>0.12743314170554543</v>
          </cell>
          <cell r="CN17">
            <v>0.12929062957422732</v>
          </cell>
          <cell r="CO17">
            <v>0.24749406123154727</v>
          </cell>
          <cell r="CP17">
            <v>-0.23540718784250714</v>
          </cell>
          <cell r="CQ17">
            <v>-0.29087730608792017</v>
          </cell>
        </row>
        <row r="18">
          <cell r="B18" t="str">
            <v>AAPL</v>
          </cell>
          <cell r="C18" t="str">
            <v>Apple Inc.</v>
          </cell>
          <cell r="D18" t="str">
            <v>Telecommunications Equipment</v>
          </cell>
          <cell r="E18">
            <v>14776.352999999999</v>
          </cell>
          <cell r="F18">
            <v>14863.609</v>
          </cell>
          <cell r="G18">
            <v>4141224.4215350002</v>
          </cell>
          <cell r="H18">
            <v>4112122.8</v>
          </cell>
          <cell r="I18">
            <v>54697</v>
          </cell>
          <cell r="J18">
            <v>112377</v>
          </cell>
          <cell r="K18">
            <v>57680</v>
          </cell>
          <cell r="L18">
            <v>4198904.4215350002</v>
          </cell>
          <cell r="M18">
            <v>4232886.9872199995</v>
          </cell>
          <cell r="O18">
            <v>278.61500000000001</v>
          </cell>
          <cell r="P18">
            <v>172.42</v>
          </cell>
          <cell r="Q18">
            <v>286.19</v>
          </cell>
          <cell r="R18">
            <v>0.9735315699360565</v>
          </cell>
          <cell r="S18">
            <v>269.43</v>
          </cell>
          <cell r="T18">
            <v>230.03</v>
          </cell>
          <cell r="U18">
            <v>196.45</v>
          </cell>
          <cell r="V18">
            <v>3.4090487325093788E-2</v>
          </cell>
          <cell r="W18">
            <v>0.21121158109811766</v>
          </cell>
          <cell r="X18">
            <v>0.41824891829982191</v>
          </cell>
          <cell r="Z18">
            <v>395760</v>
          </cell>
          <cell r="AA18">
            <v>421044.84</v>
          </cell>
          <cell r="AB18">
            <v>458608.2</v>
          </cell>
          <cell r="AC18">
            <v>456817.38</v>
          </cell>
          <cell r="AD18">
            <v>197674.81</v>
          </cell>
          <cell r="AE18">
            <v>217870.73</v>
          </cell>
          <cell r="AF18">
            <v>134041.70000000001</v>
          </cell>
          <cell r="AG18">
            <v>147653.51999999999</v>
          </cell>
          <cell r="AH18">
            <v>137352</v>
          </cell>
          <cell r="AI18">
            <v>145708.20000000001</v>
          </cell>
          <cell r="AJ18">
            <v>159365.85999999999</v>
          </cell>
          <cell r="AK18">
            <v>158549.94</v>
          </cell>
          <cell r="AL18">
            <v>12641.493</v>
          </cell>
          <cell r="AM18">
            <v>14407.304</v>
          </cell>
          <cell r="AN18">
            <v>133066.70700000002</v>
          </cell>
          <cell r="AO18">
            <v>144958.55599999998</v>
          </cell>
          <cell r="AP18">
            <v>112114.35</v>
          </cell>
          <cell r="AQ18">
            <v>122867.97</v>
          </cell>
          <cell r="AR18">
            <v>122250.63</v>
          </cell>
          <cell r="AS18">
            <v>6.3889326864766671E-2</v>
          </cell>
          <cell r="AT18">
            <v>8.9214630916744975E-2</v>
          </cell>
          <cell r="AU18">
            <v>0.4694863615951213</v>
          </cell>
          <cell r="AV18">
            <v>0.47506941655208085</v>
          </cell>
          <cell r="AW18">
            <v>0.31835492865795484</v>
          </cell>
          <cell r="AX18">
            <v>0.32196005217525547</v>
          </cell>
          <cell r="AY18">
            <v>0.34705882352941175</v>
          </cell>
          <cell r="AZ18">
            <v>0.34606337890282662</v>
          </cell>
          <cell r="BA18">
            <v>0.3474989326401054</v>
          </cell>
          <cell r="BB18">
            <v>0.31603927743182891</v>
          </cell>
          <cell r="BC18">
            <v>0.31608365484960799</v>
          </cell>
          <cell r="BD18">
            <v>0.26627650869679342</v>
          </cell>
          <cell r="BE18">
            <v>0.26791489990802608</v>
          </cell>
          <cell r="BF18">
            <v>3.2359614114636857E-2</v>
          </cell>
          <cell r="BG18">
            <v>3.5251514375981181E-2</v>
          </cell>
          <cell r="BI18">
            <v>9.2660375295265673</v>
          </cell>
          <cell r="BJ18">
            <v>10.053292630827631</v>
          </cell>
          <cell r="BK18">
            <v>9.2298545626092157</v>
          </cell>
          <cell r="BL18">
            <v>21.413385889785349</v>
          </cell>
          <cell r="BM18">
            <v>19.428433489987384</v>
          </cell>
          <cell r="BN18">
            <v>31.578881700396213</v>
          </cell>
          <cell r="BO18">
            <v>28.667701164320363</v>
          </cell>
          <cell r="BP18">
            <v>26.697499773383701</v>
          </cell>
          <cell r="BQ18">
            <v>29.050437705084541</v>
          </cell>
          <cell r="BR18">
            <v>26.560814136854656</v>
          </cell>
          <cell r="BS18">
            <v>31.810263308161662</v>
          </cell>
          <cell r="BT18">
            <v>29.200670205489629</v>
          </cell>
          <cell r="BU18">
            <v>33.636822975881593</v>
          </cell>
          <cell r="BV18">
            <v>36.677934626566532</v>
          </cell>
          <cell r="BW18">
            <v>33.467817528034359</v>
          </cell>
          <cell r="BY18">
            <v>8.1965922257936494</v>
          </cell>
          <cell r="BZ18">
            <v>7.9982662846918497</v>
          </cell>
          <cell r="CA18">
            <v>7.19498584057279</v>
          </cell>
          <cell r="CB18">
            <v>23.7657008095238</v>
          </cell>
          <cell r="CC18">
            <v>23.333165429423399</v>
          </cell>
          <cell r="CD18">
            <v>21.886477597454299</v>
          </cell>
          <cell r="CE18">
            <v>29.590917464285699</v>
          </cell>
          <cell r="CF18">
            <v>29.138717687872798</v>
          </cell>
          <cell r="CG18">
            <v>27.345491717581599</v>
          </cell>
          <cell r="CI18">
            <v>0.13047438182510862</v>
          </cell>
          <cell r="CJ18">
            <v>0.15850575608630924</v>
          </cell>
          <cell r="CK18">
            <v>0.28784652740732874</v>
          </cell>
          <cell r="CL18">
            <v>0.1233626135142214</v>
          </cell>
          <cell r="CM18">
            <v>0.14418679514944155</v>
          </cell>
          <cell r="CN18">
            <v>0.21981710645339247</v>
          </cell>
          <cell r="CO18">
            <v>0.13672795094910573</v>
          </cell>
          <cell r="CP18">
            <v>0.15436867662439568</v>
          </cell>
          <cell r="CQ18">
            <v>0.23006831704748709</v>
          </cell>
        </row>
        <row r="19">
          <cell r="B19" t="str">
            <v>AMZN</v>
          </cell>
          <cell r="C19" t="str">
            <v>Amazon.com, Inc.</v>
          </cell>
          <cell r="D19" t="str">
            <v>Internet Retail</v>
          </cell>
          <cell r="E19">
            <v>10690.216</v>
          </cell>
          <cell r="F19">
            <v>10845</v>
          </cell>
          <cell r="G19">
            <v>2507526.6749999998</v>
          </cell>
          <cell r="H19">
            <v>2473178</v>
          </cell>
          <cell r="I19">
            <v>97739</v>
          </cell>
          <cell r="J19">
            <v>152737</v>
          </cell>
          <cell r="K19">
            <v>54998</v>
          </cell>
          <cell r="L19">
            <v>2562524.6749999998</v>
          </cell>
          <cell r="M19">
            <v>2566428.875</v>
          </cell>
          <cell r="O19">
            <v>231.215</v>
          </cell>
          <cell r="P19">
            <v>167.32</v>
          </cell>
          <cell r="Q19">
            <v>254</v>
          </cell>
          <cell r="R19">
            <v>0.91029527559055123</v>
          </cell>
          <cell r="S19">
            <v>248.4</v>
          </cell>
          <cell r="T19">
            <v>229.95</v>
          </cell>
          <cell r="U19">
            <v>212.1</v>
          </cell>
          <cell r="V19">
            <v>-6.9182769726248039E-2</v>
          </cell>
          <cell r="W19">
            <v>5.5011959121549214E-3</v>
          </cell>
          <cell r="X19">
            <v>9.012258368694015E-2</v>
          </cell>
          <cell r="Z19">
            <v>637959</v>
          </cell>
          <cell r="AA19">
            <v>714544.94</v>
          </cell>
          <cell r="AB19">
            <v>795376.94</v>
          </cell>
          <cell r="AC19">
            <v>790726.3</v>
          </cell>
          <cell r="AD19">
            <v>359077.66</v>
          </cell>
          <cell r="AE19">
            <v>404235.75</v>
          </cell>
          <cell r="AF19">
            <v>80063.100000000006</v>
          </cell>
          <cell r="AG19">
            <v>100553.69500000001</v>
          </cell>
          <cell r="AH19">
            <v>122151</v>
          </cell>
          <cell r="AI19">
            <v>166622.19</v>
          </cell>
          <cell r="AJ19">
            <v>200107.95</v>
          </cell>
          <cell r="AK19">
            <v>198181.38</v>
          </cell>
          <cell r="AL19">
            <v>124307.336</v>
          </cell>
          <cell r="AM19">
            <v>145145.85999999999</v>
          </cell>
          <cell r="AN19">
            <v>42314.854000000007</v>
          </cell>
          <cell r="AO19">
            <v>54962.090000000026</v>
          </cell>
          <cell r="AP19">
            <v>76918.559999999998</v>
          </cell>
          <cell r="AQ19">
            <v>86380.9</v>
          </cell>
          <cell r="AR19">
            <v>85836.483999999997</v>
          </cell>
          <cell r="AS19">
            <v>0.12004837301456672</v>
          </cell>
          <cell r="AT19">
            <v>0.11312374558274807</v>
          </cell>
          <cell r="AU19">
            <v>0.50252634914747285</v>
          </cell>
          <cell r="AV19">
            <v>0.50823166937678632</v>
          </cell>
          <cell r="AW19">
            <v>0.11204767610557849</v>
          </cell>
          <cell r="AX19">
            <v>0.1264226933710198</v>
          </cell>
          <cell r="AY19">
            <v>0.19147155224708798</v>
          </cell>
          <cell r="AZ19">
            <v>0.23318643891033644</v>
          </cell>
          <cell r="BA19">
            <v>0.25158882529332571</v>
          </cell>
          <cell r="BB19">
            <v>5.9219303967081499E-2</v>
          </cell>
          <cell r="BC19">
            <v>6.9101940521433813E-2</v>
          </cell>
          <cell r="BD19">
            <v>0.10764691721139331</v>
          </cell>
          <cell r="BE19">
            <v>0.10860372693228949</v>
          </cell>
          <cell r="BF19">
            <v>1.7109506068709979E-2</v>
          </cell>
          <cell r="BG19">
            <v>2.2223264965158199E-2</v>
          </cell>
          <cell r="BI19">
            <v>3.2456601924079163</v>
          </cell>
          <cell r="BJ19">
            <v>3.5916969407130646</v>
          </cell>
          <cell r="BK19">
            <v>3.2266825274064397</v>
          </cell>
          <cell r="BL19">
            <v>7.1472808277741375</v>
          </cell>
          <cell r="BM19">
            <v>6.3488419195976604</v>
          </cell>
          <cell r="BN19">
            <v>32.055077495125715</v>
          </cell>
          <cell r="BO19">
            <v>25.522969344885833</v>
          </cell>
          <cell r="BP19">
            <v>12.949899102529209</v>
          </cell>
          <cell r="BQ19">
            <v>15.402683610148204</v>
          </cell>
          <cell r="BR19">
            <v>12.825221961446308</v>
          </cell>
          <cell r="BS19">
            <v>60.650779392976276</v>
          </cell>
          <cell r="BT19">
            <v>46.694528446789391</v>
          </cell>
          <cell r="BU19">
            <v>28.812666651164324</v>
          </cell>
          <cell r="BV19">
            <v>32.153202036023558</v>
          </cell>
          <cell r="BW19">
            <v>28.631074693595462</v>
          </cell>
          <cell r="BY19">
            <v>3.2583275567460301</v>
          </cell>
          <cell r="BZ19">
            <v>3.1080796570576501</v>
          </cell>
          <cell r="CA19">
            <v>2.8624845930787601</v>
          </cell>
          <cell r="CB19">
            <v>13.4859317103175</v>
          </cell>
          <cell r="CC19">
            <v>13.678631226640199</v>
          </cell>
          <cell r="CD19">
            <v>15.914710645982501</v>
          </cell>
          <cell r="CE19">
            <v>31.690275781745999</v>
          </cell>
          <cell r="CF19">
            <v>34.249040622266399</v>
          </cell>
          <cell r="CG19">
            <v>49.591418642800299</v>
          </cell>
          <cell r="CI19">
            <v>-3.8876890421551957E-3</v>
          </cell>
          <cell r="CJ19">
            <v>4.42654470061139E-2</v>
          </cell>
          <cell r="CK19">
            <v>0.13386119186654888</v>
          </cell>
          <cell r="CL19">
            <v>-3.9747539829094403E-2</v>
          </cell>
          <cell r="CM19">
            <v>-5.3275222647404141E-2</v>
          </cell>
          <cell r="CN19">
            <v>-0.18629377620520715</v>
          </cell>
          <cell r="CO19">
            <v>-9.0804168142935904E-2</v>
          </cell>
          <cell r="CP19">
            <v>-0.15873069354146274</v>
          </cell>
          <cell r="CQ19">
            <v>-0.4189989429683848</v>
          </cell>
        </row>
        <row r="20">
          <cell r="B20" t="str">
            <v>GOOGL</v>
          </cell>
          <cell r="C20" t="str">
            <v>Alphabet Inc. Class A</v>
          </cell>
          <cell r="D20" t="str">
            <v>Internet Software/Services</v>
          </cell>
          <cell r="E20">
            <v>5818</v>
          </cell>
          <cell r="F20">
            <v>12203</v>
          </cell>
          <cell r="G20">
            <v>3869717.7360000005</v>
          </cell>
          <cell r="H20">
            <v>3834048</v>
          </cell>
          <cell r="I20">
            <v>98496</v>
          </cell>
          <cell r="J20">
            <v>41195</v>
          </cell>
          <cell r="K20">
            <v>-57301</v>
          </cell>
          <cell r="L20">
            <v>3812416.7360000005</v>
          </cell>
          <cell r="M20">
            <v>3823680.105</v>
          </cell>
          <cell r="O20">
            <v>317.11200000000002</v>
          </cell>
          <cell r="P20">
            <v>144.69999999999999</v>
          </cell>
          <cell r="Q20">
            <v>323.44</v>
          </cell>
          <cell r="R20">
            <v>0.980435320306703</v>
          </cell>
          <cell r="S20">
            <v>290.10000000000002</v>
          </cell>
          <cell r="T20">
            <v>240.37</v>
          </cell>
          <cell r="U20">
            <v>174.67</v>
          </cell>
          <cell r="V20">
            <v>9.3112719751809792E-2</v>
          </cell>
          <cell r="W20">
            <v>0.31926613138078808</v>
          </cell>
          <cell r="X20">
            <v>0.81549207076200858</v>
          </cell>
          <cell r="Z20">
            <v>349807</v>
          </cell>
          <cell r="AA20">
            <v>399985.66</v>
          </cell>
          <cell r="AB20">
            <v>455169.84</v>
          </cell>
          <cell r="AC20">
            <v>451994.84</v>
          </cell>
          <cell r="AD20">
            <v>238044.64</v>
          </cell>
          <cell r="AE20">
            <v>272179.65999999997</v>
          </cell>
          <cell r="AF20">
            <v>130353.55</v>
          </cell>
          <cell r="AG20">
            <v>153920.70000000001</v>
          </cell>
          <cell r="AH20">
            <v>127490</v>
          </cell>
          <cell r="AI20">
            <v>176922.34</v>
          </cell>
          <cell r="AJ20">
            <v>212313.64</v>
          </cell>
          <cell r="AK20">
            <v>210277.42</v>
          </cell>
          <cell r="AL20">
            <v>89223.41</v>
          </cell>
          <cell r="AM20">
            <v>112927.34</v>
          </cell>
          <cell r="AN20">
            <v>87698.93</v>
          </cell>
          <cell r="AO20">
            <v>99386.300000000017</v>
          </cell>
          <cell r="AP20">
            <v>129211.766</v>
          </cell>
          <cell r="AQ20">
            <v>135042.82999999999</v>
          </cell>
          <cell r="AR20">
            <v>134707.34</v>
          </cell>
          <cell r="AS20">
            <v>0.14344670060919307</v>
          </cell>
          <cell r="AT20">
            <v>0.13796539605944891</v>
          </cell>
          <cell r="AU20">
            <v>0.59513293551573831</v>
          </cell>
          <cell r="AV20">
            <v>0.59797384642181028</v>
          </cell>
          <cell r="AW20">
            <v>0.32589555835576706</v>
          </cell>
          <cell r="AX20">
            <v>0.33816102578325491</v>
          </cell>
          <cell r="AY20">
            <v>0.36445811547510487</v>
          </cell>
          <cell r="AZ20">
            <v>0.44232170723320435</v>
          </cell>
          <cell r="BA20">
            <v>0.46644927089193783</v>
          </cell>
          <cell r="BB20">
            <v>0.21925518529839294</v>
          </cell>
          <cell r="BC20">
            <v>0.21834992406351003</v>
          </cell>
          <cell r="BD20">
            <v>0.32304099601970732</v>
          </cell>
          <cell r="BE20">
            <v>0.29668668293136463</v>
          </cell>
          <cell r="BF20">
            <v>2.2873717282621393E-2</v>
          </cell>
          <cell r="BG20">
            <v>2.5922028101891269E-2</v>
          </cell>
          <cell r="BI20">
            <v>8.4595658326541958</v>
          </cell>
          <cell r="BJ20">
            <v>9.5595429721155512</v>
          </cell>
          <cell r="BK20">
            <v>8.4005568229213079</v>
          </cell>
          <cell r="BL20">
            <v>16.062869993628084</v>
          </cell>
          <cell r="BM20">
            <v>14.048368291003083</v>
          </cell>
          <cell r="BN20">
            <v>29.333149001312201</v>
          </cell>
          <cell r="BO20">
            <v>24.8418835478269</v>
          </cell>
          <cell r="BP20">
            <v>18.183978598367812</v>
          </cell>
          <cell r="BQ20">
            <v>21.612194960794664</v>
          </cell>
          <cell r="BR20">
            <v>18.009582921756699</v>
          </cell>
          <cell r="BS20">
            <v>43.60007704769032</v>
          </cell>
          <cell r="BT20">
            <v>38.472909294339352</v>
          </cell>
          <cell r="BU20">
            <v>28.462057078701132</v>
          </cell>
          <cell r="BV20">
            <v>29.67259189074159</v>
          </cell>
          <cell r="BW20">
            <v>28.39134813747609</v>
          </cell>
          <cell r="BY20">
            <v>5.8869950190476201</v>
          </cell>
          <cell r="BZ20">
            <v>5.6109837880715698</v>
          </cell>
          <cell r="CA20">
            <v>5.2767117327764499</v>
          </cell>
          <cell r="CB20">
            <v>13.0035325496032</v>
          </cell>
          <cell r="CC20">
            <v>12.804570923459201</v>
          </cell>
          <cell r="CD20">
            <v>12.8352289144789</v>
          </cell>
          <cell r="CE20">
            <v>20.5269108333333</v>
          </cell>
          <cell r="CF20">
            <v>20.6100339542744</v>
          </cell>
          <cell r="CG20">
            <v>21.73468333572</v>
          </cell>
          <cell r="CI20">
            <v>0.436992184515685</v>
          </cell>
          <cell r="CJ20">
            <v>0.50767960703049031</v>
          </cell>
          <cell r="CK20">
            <v>0.60318892921653355</v>
          </cell>
          <cell r="CL20">
            <v>0.39838759421744152</v>
          </cell>
          <cell r="CM20">
            <v>0.42011619968092972</v>
          </cell>
          <cell r="CN20">
            <v>0.41672413632258665</v>
          </cell>
          <cell r="CO20">
            <v>0.38657284136890602</v>
          </cell>
          <cell r="CP20">
            <v>0.38098060109203602</v>
          </cell>
          <cell r="CQ20">
            <v>0.30952251013130661</v>
          </cell>
        </row>
        <row r="21">
          <cell r="B21" t="str">
            <v>TSLA</v>
          </cell>
          <cell r="C21" t="str">
            <v>Tesla, Inc.</v>
          </cell>
          <cell r="D21" t="str">
            <v>Motor Vehicles</v>
          </cell>
          <cell r="E21">
            <v>3325.819</v>
          </cell>
          <cell r="F21">
            <v>3526</v>
          </cell>
          <cell r="G21">
            <v>1571591.7952000001</v>
          </cell>
          <cell r="H21">
            <v>1480555.4</v>
          </cell>
          <cell r="I21">
            <v>42235</v>
          </cell>
          <cell r="J21">
            <v>13788</v>
          </cell>
          <cell r="K21">
            <v>-28447</v>
          </cell>
          <cell r="L21">
            <v>1543144.7952000001</v>
          </cell>
          <cell r="M21">
            <v>1541968.42</v>
          </cell>
          <cell r="O21">
            <v>445.71519999999998</v>
          </cell>
          <cell r="P21">
            <v>221.86</v>
          </cell>
          <cell r="Q21">
            <v>479.86</v>
          </cell>
          <cell r="R21">
            <v>0.92884424623848616</v>
          </cell>
          <cell r="S21">
            <v>445.23</v>
          </cell>
          <cell r="T21">
            <v>368.81</v>
          </cell>
          <cell r="U21">
            <v>325.31</v>
          </cell>
          <cell r="V21">
            <v>1.089773824764606E-3</v>
          </cell>
          <cell r="W21">
            <v>0.20852254548412463</v>
          </cell>
          <cell r="X21">
            <v>0.37012449663397984</v>
          </cell>
          <cell r="Z21">
            <v>97690</v>
          </cell>
          <cell r="AA21">
            <v>95123.483999999997</v>
          </cell>
          <cell r="AB21">
            <v>108490.78</v>
          </cell>
          <cell r="AC21">
            <v>107721.7</v>
          </cell>
          <cell r="AD21">
            <v>16855.171999999999</v>
          </cell>
          <cell r="AE21">
            <v>19741.465</v>
          </cell>
          <cell r="AF21">
            <v>4748.1405999999997</v>
          </cell>
          <cell r="AG21">
            <v>7115.9486999999999</v>
          </cell>
          <cell r="AH21">
            <v>13128</v>
          </cell>
          <cell r="AI21">
            <v>13186.561</v>
          </cell>
          <cell r="AJ21">
            <v>15279.186</v>
          </cell>
          <cell r="AK21">
            <v>15158.788</v>
          </cell>
          <cell r="AL21">
            <v>9963.4375</v>
          </cell>
          <cell r="AM21">
            <v>11443.444</v>
          </cell>
          <cell r="AN21">
            <v>3223.1234999999997</v>
          </cell>
          <cell r="AO21">
            <v>3835.7420000000002</v>
          </cell>
          <cell r="AP21">
            <v>6148.5933000000005</v>
          </cell>
          <cell r="AQ21">
            <v>7683.1733000000004</v>
          </cell>
          <cell r="AR21">
            <v>7594.8823000000002</v>
          </cell>
          <cell r="AS21">
            <v>-2.6272044221517077E-2</v>
          </cell>
          <cell r="AT21">
            <v>0.14052571917992407</v>
          </cell>
          <cell r="AU21">
            <v>0.17719254269534535</v>
          </cell>
          <cell r="AV21">
            <v>0.18196444896054761</v>
          </cell>
          <cell r="AW21">
            <v>4.9915545566013964E-2</v>
          </cell>
          <cell r="AX21">
            <v>6.5590354313979499E-2</v>
          </cell>
          <cell r="AY21">
            <v>0.13438427679394002</v>
          </cell>
          <cell r="AZ21">
            <v>0.13862571518091157</v>
          </cell>
          <cell r="BA21">
            <v>0.14083395842485416</v>
          </cell>
          <cell r="BB21">
            <v>3.3883572851473774E-2</v>
          </cell>
          <cell r="BC21">
            <v>3.5355465229395533E-2</v>
          </cell>
          <cell r="BD21">
            <v>6.4638016202182E-2</v>
          </cell>
          <cell r="BE21">
            <v>7.081867509847381E-2</v>
          </cell>
          <cell r="BF21">
            <v>2.1769691968297842E-3</v>
          </cell>
          <cell r="BG21">
            <v>2.5907453378644259E-3</v>
          </cell>
          <cell r="BI21">
            <v>14.314371384781339</v>
          </cell>
          <cell r="BJ21">
            <v>16.2101760276148</v>
          </cell>
          <cell r="BK21">
            <v>14.212898275779748</v>
          </cell>
          <cell r="BL21">
            <v>91.483398686171824</v>
          </cell>
          <cell r="BM21">
            <v>78.108104945605604</v>
          </cell>
          <cell r="BN21" t="str">
            <v>--</v>
          </cell>
          <cell r="BO21" t="str">
            <v>--</v>
          </cell>
          <cell r="BP21" t="str">
            <v>--</v>
          </cell>
          <cell r="BQ21" t="str">
            <v>--</v>
          </cell>
          <cell r="BR21" t="str">
            <v>--</v>
          </cell>
          <cell r="BS21" t="str">
            <v>--</v>
          </cell>
          <cell r="BT21" t="str">
            <v>--</v>
          </cell>
          <cell r="BU21" t="str">
            <v>--</v>
          </cell>
          <cell r="BV21" t="str">
            <v>--</v>
          </cell>
          <cell r="BW21" t="str">
            <v>--</v>
          </cell>
          <cell r="BY21">
            <v>11.2139792595238</v>
          </cell>
          <cell r="BZ21">
            <v>8.9251888320079509</v>
          </cell>
          <cell r="CA21">
            <v>9.7046104684168704</v>
          </cell>
          <cell r="CB21">
            <v>75.160089579365106</v>
          </cell>
          <cell r="CC21">
            <v>58.869449260437399</v>
          </cell>
          <cell r="CD21">
            <v>54.061360254972101</v>
          </cell>
          <cell r="CE21">
            <v>141.37482265873001</v>
          </cell>
          <cell r="CF21">
            <v>106.37764724453299</v>
          </cell>
          <cell r="CG21">
            <v>93.994334159109101</v>
          </cell>
          <cell r="CI21">
            <v>0.27647564290119764</v>
          </cell>
          <cell r="CJ21">
            <v>0.60381720254998261</v>
          </cell>
          <cell r="CK21">
            <v>0.4750073103260235</v>
          </cell>
          <cell r="CL21" t="str">
            <v>--</v>
          </cell>
          <cell r="CM21" t="str">
            <v>--</v>
          </cell>
          <cell r="CN21" t="str">
            <v>--</v>
          </cell>
          <cell r="CO21" t="str">
            <v>--</v>
          </cell>
          <cell r="CP21" t="str">
            <v>--</v>
          </cell>
          <cell r="CQ21" t="str">
            <v>--</v>
          </cell>
        </row>
        <row r="22">
          <cell r="B22" t="str">
            <v>MSFT</v>
          </cell>
          <cell r="C22" t="str">
            <v>Microsoft Corporation</v>
          </cell>
          <cell r="D22" t="str">
            <v>Packaged Software</v>
          </cell>
          <cell r="E22">
            <v>7432.3774000000003</v>
          </cell>
          <cell r="F22">
            <v>7466</v>
          </cell>
          <cell r="G22">
            <v>3584177.2355999998</v>
          </cell>
          <cell r="H22">
            <v>3571704.5</v>
          </cell>
          <cell r="I22">
            <v>102012</v>
          </cell>
          <cell r="J22">
            <v>120375</v>
          </cell>
          <cell r="K22">
            <v>18363</v>
          </cell>
          <cell r="L22">
            <v>3602540.2355999998</v>
          </cell>
          <cell r="M22">
            <v>3604656.1</v>
          </cell>
          <cell r="O22">
            <v>480.06659999999999</v>
          </cell>
          <cell r="P22">
            <v>354.56</v>
          </cell>
          <cell r="Q22">
            <v>542.07000000000005</v>
          </cell>
          <cell r="R22">
            <v>0.88561735569206923</v>
          </cell>
          <cell r="S22">
            <v>506</v>
          </cell>
          <cell r="T22">
            <v>501.01</v>
          </cell>
          <cell r="U22">
            <v>474.96</v>
          </cell>
          <cell r="V22">
            <v>-5.1251778656126512E-2</v>
          </cell>
          <cell r="W22">
            <v>-4.1802359234346609E-2</v>
          </cell>
          <cell r="X22">
            <v>1.0751642243557402E-2</v>
          </cell>
          <cell r="Z22">
            <v>261802</v>
          </cell>
          <cell r="AA22">
            <v>298133.71999999997</v>
          </cell>
          <cell r="AB22">
            <v>351192.22</v>
          </cell>
          <cell r="AC22">
            <v>348363.63</v>
          </cell>
          <cell r="AD22">
            <v>203281.5</v>
          </cell>
          <cell r="AE22">
            <v>236568.81</v>
          </cell>
          <cell r="AF22">
            <v>134492.63</v>
          </cell>
          <cell r="AG22">
            <v>161956.26999999999</v>
          </cell>
          <cell r="AH22">
            <v>144328</v>
          </cell>
          <cell r="AI22">
            <v>168532.73</v>
          </cell>
          <cell r="AJ22">
            <v>215438.89</v>
          </cell>
          <cell r="AK22">
            <v>213600.22</v>
          </cell>
          <cell r="AL22">
            <v>69752.899999999994</v>
          </cell>
          <cell r="AM22">
            <v>105656.87</v>
          </cell>
          <cell r="AN22">
            <v>98779.830000000016</v>
          </cell>
          <cell r="AO22">
            <v>109782.02000000002</v>
          </cell>
          <cell r="AP22">
            <v>106831.14</v>
          </cell>
          <cell r="AQ22">
            <v>128595.26</v>
          </cell>
          <cell r="AR22">
            <v>127382.836</v>
          </cell>
          <cell r="AS22">
            <v>0.13877556321189277</v>
          </cell>
          <cell r="AT22">
            <v>0.17796879869878524</v>
          </cell>
          <cell r="AU22">
            <v>0.68184672300738081</v>
          </cell>
          <cell r="AV22">
            <v>0.67361631758243401</v>
          </cell>
          <cell r="AW22">
            <v>0.45111512377734397</v>
          </cell>
          <cell r="AX22">
            <v>0.46116132640979346</v>
          </cell>
          <cell r="AY22">
            <v>0.5512868503678352</v>
          </cell>
          <cell r="AZ22">
            <v>0.56529241308229083</v>
          </cell>
          <cell r="BA22">
            <v>0.6134500644689681</v>
          </cell>
          <cell r="BB22">
            <v>0.33132726482599828</v>
          </cell>
          <cell r="BC22">
            <v>0.31259809798747829</v>
          </cell>
          <cell r="BD22">
            <v>0.35833296548944549</v>
          </cell>
          <cell r="BE22">
            <v>0.36616773572034145</v>
          </cell>
          <cell r="BF22">
            <v>2.7656215680776509E-2</v>
          </cell>
          <cell r="BG22">
            <v>3.0736590890987767E-2</v>
          </cell>
          <cell r="BI22">
            <v>10.347395048099596</v>
          </cell>
          <cell r="BJ22">
            <v>12.090735995914855</v>
          </cell>
          <cell r="BK22">
            <v>10.264054539704782</v>
          </cell>
          <cell r="BL22">
            <v>17.732337177755969</v>
          </cell>
          <cell r="BM22">
            <v>15.237241545070967</v>
          </cell>
          <cell r="BN22">
            <v>26.801885724147116</v>
          </cell>
          <cell r="BO22">
            <v>22.256971588688728</v>
          </cell>
          <cell r="BP22">
            <v>16.875713423890669</v>
          </cell>
          <cell r="BQ22">
            <v>21.388463237971639</v>
          </cell>
          <cell r="BR22">
            <v>16.731687115543529</v>
          </cell>
          <cell r="BS22">
            <v>36.491823280116996</v>
          </cell>
          <cell r="BT22">
            <v>32.834667279760382</v>
          </cell>
          <cell r="BU22">
            <v>28.039134722985757</v>
          </cell>
          <cell r="BV22">
            <v>33.433177816879983</v>
          </cell>
          <cell r="BW22">
            <v>27.77477567991231</v>
          </cell>
          <cell r="BY22">
            <v>10.8922537579365</v>
          </cell>
          <cell r="BZ22">
            <v>11.0853891153082</v>
          </cell>
          <cell r="CA22">
            <v>10.315853520286399</v>
          </cell>
          <cell r="CB22">
            <v>18.934015307539699</v>
          </cell>
          <cell r="CC22">
            <v>20.027575859841001</v>
          </cell>
          <cell r="CD22">
            <v>19.874056106205199</v>
          </cell>
          <cell r="CE22">
            <v>30.1710594246032</v>
          </cell>
          <cell r="CF22">
            <v>30.871432107355801</v>
          </cell>
          <cell r="CG22">
            <v>29.5965311662689</v>
          </cell>
          <cell r="CI22">
            <v>-5.0022586871876662E-2</v>
          </cell>
          <cell r="CJ22">
            <v>-6.657358253572554E-2</v>
          </cell>
          <cell r="CK22">
            <v>3.0575781006554337E-3</v>
          </cell>
          <cell r="CL22">
            <v>-0.10870921197731342</v>
          </cell>
          <cell r="CM22">
            <v>-0.15737613268864947</v>
          </cell>
          <cell r="CN22">
            <v>-0.15086717408321937</v>
          </cell>
          <cell r="CO22">
            <v>-7.0661247641803038E-2</v>
          </cell>
          <cell r="CP22">
            <v>-9.1744930216411502E-2</v>
          </cell>
          <cell r="CQ22">
            <v>-5.2620911367413981E-2</v>
          </cell>
        </row>
        <row r="23">
          <cell r="B23" t="str">
            <v>IBM</v>
          </cell>
          <cell r="C23" t="str">
            <v>International Business Machines Corporation</v>
          </cell>
          <cell r="D23" t="str">
            <v>Information Technology Services</v>
          </cell>
          <cell r="E23">
            <v>934.73519999999996</v>
          </cell>
          <cell r="F23">
            <v>948.93102599999997</v>
          </cell>
          <cell r="G23">
            <v>296275.24493772001</v>
          </cell>
          <cell r="H23">
            <v>291842.96999999997</v>
          </cell>
          <cell r="I23">
            <v>14885</v>
          </cell>
          <cell r="J23">
            <v>66569</v>
          </cell>
          <cell r="K23">
            <v>51684</v>
          </cell>
          <cell r="L23">
            <v>347959.24493772001</v>
          </cell>
          <cell r="M23">
            <v>346412.08357299998</v>
          </cell>
          <cell r="O23">
            <v>312.22000000000003</v>
          </cell>
          <cell r="P23">
            <v>217.4</v>
          </cell>
          <cell r="Q23">
            <v>314.98</v>
          </cell>
          <cell r="R23">
            <v>0.99123753889135824</v>
          </cell>
          <cell r="S23">
            <v>309.13</v>
          </cell>
          <cell r="T23">
            <v>257.01</v>
          </cell>
          <cell r="U23">
            <v>277.22000000000003</v>
          </cell>
          <cell r="V23">
            <v>9.9957946495004002E-3</v>
          </cell>
          <cell r="W23">
            <v>0.2148165441033425</v>
          </cell>
          <cell r="X23">
            <v>0.12625351706226096</v>
          </cell>
          <cell r="Z23">
            <v>62753</v>
          </cell>
          <cell r="AA23">
            <v>67074.516000000003</v>
          </cell>
          <cell r="AB23">
            <v>70150.13</v>
          </cell>
          <cell r="AC23">
            <v>69973.179999999993</v>
          </cell>
          <cell r="AD23">
            <v>39757.58</v>
          </cell>
          <cell r="AE23">
            <v>42034.656000000003</v>
          </cell>
          <cell r="AF23">
            <v>13812.620999999999</v>
          </cell>
          <cell r="AG23">
            <v>14363.154</v>
          </cell>
          <cell r="AH23">
            <v>15363</v>
          </cell>
          <cell r="AI23">
            <v>18420.349999999999</v>
          </cell>
          <cell r="AJ23">
            <v>19286.328000000001</v>
          </cell>
          <cell r="AK23">
            <v>19236.506000000001</v>
          </cell>
          <cell r="AL23">
            <v>1483.4236000000001</v>
          </cell>
          <cell r="AM23">
            <v>1550.1166000000001</v>
          </cell>
          <cell r="AN23">
            <v>16936.926399999997</v>
          </cell>
          <cell r="AO23">
            <v>17736.2114</v>
          </cell>
          <cell r="AP23">
            <v>10773.184999999999</v>
          </cell>
          <cell r="AQ23">
            <v>11722.084000000001</v>
          </cell>
          <cell r="AR23">
            <v>11667.489</v>
          </cell>
          <cell r="AS23">
            <v>6.8865488502541705E-2</v>
          </cell>
          <cell r="AT23">
            <v>4.5853689052336888E-2</v>
          </cell>
          <cell r="AU23">
            <v>0.59273748617135014</v>
          </cell>
          <cell r="AV23">
            <v>0.5992099515710092</v>
          </cell>
          <cell r="AW23">
            <v>0.20592949191016149</v>
          </cell>
          <cell r="AX23">
            <v>0.20474878663802903</v>
          </cell>
          <cell r="AY23">
            <v>0.24481698086147277</v>
          </cell>
          <cell r="AZ23">
            <v>0.27462516464524317</v>
          </cell>
          <cell r="BA23">
            <v>0.27492932657430569</v>
          </cell>
          <cell r="BB23">
            <v>0.25250911091181033</v>
          </cell>
          <cell r="BC23">
            <v>0.25283219574931648</v>
          </cell>
          <cell r="BD23">
            <v>0.16061517313073118</v>
          </cell>
          <cell r="BE23">
            <v>0.16709996118325082</v>
          </cell>
          <cell r="BF23">
            <v>5.8034381982886199E-2</v>
          </cell>
          <cell r="BG23">
            <v>6.0773132208735411E-2</v>
          </cell>
          <cell r="BI23">
            <v>4.9506408537242415</v>
          </cell>
          <cell r="BJ23">
            <v>5.1645856613113681</v>
          </cell>
          <cell r="BK23">
            <v>4.9381531234938549</v>
          </cell>
          <cell r="BL23">
            <v>8.7131078796294936</v>
          </cell>
          <cell r="BM23">
            <v>8.241106661441453</v>
          </cell>
          <cell r="BN23">
            <v>25.079388160509147</v>
          </cell>
          <cell r="BO23">
            <v>24.118106898596224</v>
          </cell>
          <cell r="BP23">
            <v>18.00805632649713</v>
          </cell>
          <cell r="BQ23">
            <v>18.80594470642523</v>
          </cell>
          <cell r="BR23">
            <v>17.961536461113798</v>
          </cell>
          <cell r="BS23">
            <v>20.453066594951967</v>
          </cell>
          <cell r="BT23">
            <v>19.531346112225521</v>
          </cell>
          <cell r="BU23">
            <v>25.013348630540811</v>
          </cell>
          <cell r="BV23">
            <v>27.08975757865478</v>
          </cell>
          <cell r="BW23">
            <v>24.896850252907242</v>
          </cell>
          <cell r="BY23">
            <v>4.3828810075396802</v>
          </cell>
          <cell r="BZ23">
            <v>3.9060499998011902</v>
          </cell>
          <cell r="CA23">
            <v>3.1124316722354801</v>
          </cell>
          <cell r="CB23">
            <v>16.6338177480159</v>
          </cell>
          <cell r="CC23">
            <v>15.313122067594399</v>
          </cell>
          <cell r="CD23">
            <v>12.2601133878282</v>
          </cell>
          <cell r="CE23">
            <v>23.098071849206299</v>
          </cell>
          <cell r="CF23">
            <v>20.776958850894601</v>
          </cell>
          <cell r="CG23">
            <v>16.152975620922799</v>
          </cell>
          <cell r="CI23">
            <v>0.12954032865776388</v>
          </cell>
          <cell r="CJ23">
            <v>0.26742895098020214</v>
          </cell>
          <cell r="CK23">
            <v>0.59060226056897869</v>
          </cell>
          <cell r="CL23">
            <v>8.2617147746803399E-2</v>
          </cell>
          <cell r="CM23">
            <v>0.1759885571999551</v>
          </cell>
          <cell r="CN23">
            <v>0.46883277151216785</v>
          </cell>
          <cell r="CO23">
            <v>8.2919336031086255E-2</v>
          </cell>
          <cell r="CP23">
            <v>0.20389845357294933</v>
          </cell>
          <cell r="CQ23">
            <v>0.548528841840215</v>
          </cell>
        </row>
        <row r="24">
          <cell r="B24" t="str">
            <v>TSM</v>
          </cell>
          <cell r="C24" t="str">
            <v>Taiwan Semiconductor Manufacturing Co., Ltd. Sponsored ADR</v>
          </cell>
          <cell r="D24" t="str">
            <v>Semiconductors</v>
          </cell>
          <cell r="E24">
            <v>5186.5050000000001</v>
          </cell>
          <cell r="F24">
            <v>5186.0086000000001</v>
          </cell>
          <cell r="G24">
            <v>1592363.9406300001</v>
          </cell>
          <cell r="H24">
            <v>1592315.3</v>
          </cell>
          <cell r="I24">
            <v>90267.771901043394</v>
          </cell>
          <cell r="J24">
            <v>33764.819181048602</v>
          </cell>
          <cell r="K24">
            <v>-56502.952719994792</v>
          </cell>
          <cell r="L24">
            <v>1535860.9879100053</v>
          </cell>
          <cell r="M24">
            <v>1196133.72507878</v>
          </cell>
          <cell r="O24">
            <v>307.05</v>
          </cell>
          <cell r="P24">
            <v>141.37</v>
          </cell>
          <cell r="Q24">
            <v>307.05</v>
          </cell>
          <cell r="R24">
            <v>1</v>
          </cell>
          <cell r="S24">
            <v>295.27</v>
          </cell>
          <cell r="T24">
            <v>258.91000000000003</v>
          </cell>
          <cell r="U24">
            <v>211.1</v>
          </cell>
          <cell r="V24">
            <v>3.9895688691705899E-2</v>
          </cell>
          <cell r="W24">
            <v>0.18593333590823069</v>
          </cell>
          <cell r="X24">
            <v>0.4545239223117008</v>
          </cell>
          <cell r="Z24">
            <v>90115.570103717604</v>
          </cell>
          <cell r="AA24">
            <v>122477.14</v>
          </cell>
          <cell r="AB24">
            <v>149666.42000000001</v>
          </cell>
          <cell r="AC24">
            <v>148102.10999999999</v>
          </cell>
          <cell r="AD24">
            <v>72821.42</v>
          </cell>
          <cell r="AE24">
            <v>88814.14</v>
          </cell>
          <cell r="AF24">
            <v>61101.491999999998</v>
          </cell>
          <cell r="AG24">
            <v>74518.36</v>
          </cell>
          <cell r="AH24">
            <v>61836.565609999998</v>
          </cell>
          <cell r="AI24">
            <v>84155.414000000004</v>
          </cell>
          <cell r="AJ24">
            <v>102767.67</v>
          </cell>
          <cell r="AK24">
            <v>101696.83</v>
          </cell>
          <cell r="AL24">
            <v>40009.56</v>
          </cell>
          <cell r="AM24">
            <v>45044.245999999999</v>
          </cell>
          <cell r="AN24">
            <v>44145.854000000007</v>
          </cell>
          <cell r="AO24">
            <v>57723.423999999999</v>
          </cell>
          <cell r="AP24">
            <v>53805.163999999997</v>
          </cell>
          <cell r="AQ24">
            <v>65035.887000000002</v>
          </cell>
          <cell r="AR24">
            <v>64389.74</v>
          </cell>
          <cell r="AS24">
            <v>0.35911185890558284</v>
          </cell>
          <cell r="AT24">
            <v>0.2219947330579406</v>
          </cell>
          <cell r="AU24">
            <v>0.59457152575574512</v>
          </cell>
          <cell r="AV24">
            <v>0.59341394014769644</v>
          </cell>
          <cell r="AW24">
            <v>0.49888078705952799</v>
          </cell>
          <cell r="AX24">
            <v>0.49789632169995107</v>
          </cell>
          <cell r="AY24">
            <v>0.68619180391168622</v>
          </cell>
          <cell r="AZ24">
            <v>0.68711119479112592</v>
          </cell>
          <cell r="BA24">
            <v>0.68664480649700843</v>
          </cell>
          <cell r="BB24">
            <v>0.36044158117996555</v>
          </cell>
          <cell r="BC24">
            <v>0.38568052873851055</v>
          </cell>
          <cell r="BD24">
            <v>0.43930780878782766</v>
          </cell>
          <cell r="BE24">
            <v>0.43453893665659937</v>
          </cell>
          <cell r="BF24">
            <v>2.7724316911355438E-2</v>
          </cell>
          <cell r="BG24">
            <v>3.6251252500054482E-2</v>
          </cell>
          <cell r="BI24">
            <v>8.0764124500237031</v>
          </cell>
          <cell r="BJ24">
            <v>9.7661794280857634</v>
          </cell>
          <cell r="BK24">
            <v>7.9919979717479706</v>
          </cell>
          <cell r="BL24">
            <v>16.425575401836163</v>
          </cell>
          <cell r="BM24">
            <v>13.467829841946113</v>
          </cell>
          <cell r="BN24">
            <v>19.576178681181467</v>
          </cell>
          <cell r="BO24">
            <v>16.051530456102093</v>
          </cell>
          <cell r="BP24">
            <v>11.761760175600163</v>
          </cell>
          <cell r="BQ24">
            <v>14.213390062804276</v>
          </cell>
          <cell r="BR24">
            <v>11.639202534014638</v>
          </cell>
          <cell r="BS24">
            <v>27.09504102194466</v>
          </cell>
          <cell r="BT24">
            <v>20.721808274553844</v>
          </cell>
          <cell r="BU24">
            <v>24.729332654550245</v>
          </cell>
          <cell r="BV24">
            <v>29.594098068356416</v>
          </cell>
          <cell r="BW24">
            <v>24.483640855086669</v>
          </cell>
          <cell r="BY24">
            <v>7.0277267727642299</v>
          </cell>
          <cell r="BZ24">
            <v>6.9628741640657097</v>
          </cell>
          <cell r="CA24">
            <v>6.7815548489728901</v>
          </cell>
          <cell r="CB24">
            <v>10.386351609756099</v>
          </cell>
          <cell r="CC24">
            <v>10.254478071047201</v>
          </cell>
          <cell r="CD24">
            <v>9.9797307119967194</v>
          </cell>
          <cell r="CE24">
            <v>21.624994847222201</v>
          </cell>
          <cell r="CF24">
            <v>21.661147112325999</v>
          </cell>
          <cell r="CG24">
            <v>20.634005809466998</v>
          </cell>
          <cell r="CI24">
            <v>0.14922117936110246</v>
          </cell>
          <cell r="CJ24">
            <v>0.15992509123671783</v>
          </cell>
          <cell r="CK24">
            <v>0.19093815944686021</v>
          </cell>
          <cell r="CL24">
            <v>0.13242461044281573</v>
          </cell>
          <cell r="CM24">
            <v>0.14698769592268834</v>
          </cell>
          <cell r="CN24">
            <v>0.17856488466780474</v>
          </cell>
          <cell r="CO24">
            <v>0.14355322760813549</v>
          </cell>
          <cell r="CP24">
            <v>0.14164464727162729</v>
          </cell>
          <cell r="CQ24">
            <v>0.19847463856021053</v>
          </cell>
        </row>
        <row r="25">
          <cell r="B25" t="str">
            <v>META</v>
          </cell>
          <cell r="C25" t="str">
            <v>Meta Platforms Inc Class A</v>
          </cell>
          <cell r="D25" t="str">
            <v>Internet Software/Services</v>
          </cell>
          <cell r="E25">
            <v>2177.8892000000001</v>
          </cell>
          <cell r="F25">
            <v>2572</v>
          </cell>
          <cell r="G25">
            <v>1665730.08</v>
          </cell>
          <cell r="H25">
            <v>1642981.3</v>
          </cell>
          <cell r="I25">
            <v>44590</v>
          </cell>
          <cell r="J25">
            <v>51060</v>
          </cell>
          <cell r="K25">
            <v>6470</v>
          </cell>
          <cell r="L25">
            <v>1672200.08</v>
          </cell>
          <cell r="M25">
            <v>1685111.52</v>
          </cell>
          <cell r="O25">
            <v>647.64</v>
          </cell>
          <cell r="P25">
            <v>484.66</v>
          </cell>
          <cell r="Q25">
            <v>790</v>
          </cell>
          <cell r="R25">
            <v>0.81979746835443035</v>
          </cell>
          <cell r="S25">
            <v>631.76</v>
          </cell>
          <cell r="T25">
            <v>750.9</v>
          </cell>
          <cell r="U25">
            <v>682.87</v>
          </cell>
          <cell r="V25">
            <v>2.5136127643408779E-2</v>
          </cell>
          <cell r="W25">
            <v>-0.13751498202157408</v>
          </cell>
          <cell r="X25">
            <v>-5.1591078829059778E-2</v>
          </cell>
          <cell r="Z25">
            <v>164501</v>
          </cell>
          <cell r="AA25">
            <v>199471</v>
          </cell>
          <cell r="AB25">
            <v>235746.1</v>
          </cell>
          <cell r="AC25">
            <v>233659.03</v>
          </cell>
          <cell r="AD25">
            <v>163180.98000000001</v>
          </cell>
          <cell r="AE25">
            <v>187740</v>
          </cell>
          <cell r="AF25">
            <v>82406.625</v>
          </cell>
          <cell r="AG25">
            <v>86406.164000000004</v>
          </cell>
          <cell r="AH25">
            <v>85267</v>
          </cell>
          <cell r="AI25">
            <v>121285.234</v>
          </cell>
          <cell r="AJ25">
            <v>140366.69</v>
          </cell>
          <cell r="AK25">
            <v>139268.85999999999</v>
          </cell>
          <cell r="AL25">
            <v>69975.88</v>
          </cell>
          <cell r="AM25">
            <v>109282.79</v>
          </cell>
          <cell r="AN25">
            <v>51309.353999999992</v>
          </cell>
          <cell r="AO25">
            <v>31083.900000000009</v>
          </cell>
          <cell r="AP25">
            <v>59426.406000000003</v>
          </cell>
          <cell r="AQ25">
            <v>76701.88</v>
          </cell>
          <cell r="AR25">
            <v>75707.945000000007</v>
          </cell>
          <cell r="AS25">
            <v>0.21258229433255726</v>
          </cell>
          <cell r="AT25">
            <v>0.18185651047019369</v>
          </cell>
          <cell r="AU25">
            <v>0.81806869168951879</v>
          </cell>
          <cell r="AV25">
            <v>0.79636524209732418</v>
          </cell>
          <cell r="AW25">
            <v>0.41312584285434978</v>
          </cell>
          <cell r="AX25">
            <v>0.36652213546692819</v>
          </cell>
          <cell r="AY25">
            <v>0.51833727454544354</v>
          </cell>
          <cell r="AZ25">
            <v>0.60803442104366046</v>
          </cell>
          <cell r="BA25">
            <v>0.59541468554516919</v>
          </cell>
          <cell r="BB25">
            <v>0.25722713577412254</v>
          </cell>
          <cell r="BC25">
            <v>0.13185329470985949</v>
          </cell>
          <cell r="BD25">
            <v>0.29792002847531723</v>
          </cell>
          <cell r="BE25">
            <v>0.32535800168062168</v>
          </cell>
          <cell r="BF25">
            <v>3.1229420566137905E-2</v>
          </cell>
          <cell r="BG25">
            <v>1.8919204984256369E-2</v>
          </cell>
          <cell r="BI25">
            <v>7.2118399190478542</v>
          </cell>
          <cell r="BJ25">
            <v>8.4479023015876997</v>
          </cell>
          <cell r="BK25">
            <v>7.1479932011600615</v>
          </cell>
          <cell r="BL25">
            <v>10.326641744644505</v>
          </cell>
          <cell r="BM25">
            <v>8.9757724512623849</v>
          </cell>
          <cell r="BN25">
            <v>20.448738435775038</v>
          </cell>
          <cell r="BO25">
            <v>19.502214217032016</v>
          </cell>
          <cell r="BP25">
            <v>12.099700679678143</v>
          </cell>
          <cell r="BQ25">
            <v>13.893789577056017</v>
          </cell>
          <cell r="BR25">
            <v>12.00506701411852</v>
          </cell>
          <cell r="BS25">
            <v>32.842189359858246</v>
          </cell>
          <cell r="BT25">
            <v>54.211714746219087</v>
          </cell>
          <cell r="BU25">
            <v>21.701570423024954</v>
          </cell>
          <cell r="BV25">
            <v>27.647327351413445</v>
          </cell>
          <cell r="BW25">
            <v>21.420352408571993</v>
          </cell>
          <cell r="BY25">
            <v>8.3739570785714292</v>
          </cell>
          <cell r="BZ25">
            <v>7.9418105825049796</v>
          </cell>
          <cell r="CA25">
            <v>6.2780771563245903</v>
          </cell>
          <cell r="CB25">
            <v>13.8210379007936</v>
          </cell>
          <cell r="CC25">
            <v>13.2627656023857</v>
          </cell>
          <cell r="CD25">
            <v>11.6205738820207</v>
          </cell>
          <cell r="CE25">
            <v>24.3943347777778</v>
          </cell>
          <cell r="CF25">
            <v>23.575977381709698</v>
          </cell>
          <cell r="CG25">
            <v>21.1694817565633</v>
          </cell>
          <cell r="CI25">
            <v>-0.13877753953353544</v>
          </cell>
          <cell r="CJ25">
            <v>-9.191489218657245E-2</v>
          </cell>
          <cell r="CK25">
            <v>0.14873387814015371</v>
          </cell>
          <cell r="CL25">
            <v>-0.12454471462064498</v>
          </cell>
          <cell r="CM25">
            <v>-8.7693996680326292E-2</v>
          </cell>
          <cell r="CN25">
            <v>4.1230906710962634E-2</v>
          </cell>
          <cell r="CO25">
            <v>-0.11038482415211581</v>
          </cell>
          <cell r="CP25">
            <v>-7.9504952364728432E-2</v>
          </cell>
          <cell r="CQ25">
            <v>2.513470440988419E-2</v>
          </cell>
        </row>
        <row r="26">
          <cell r="B26" t="str">
            <v>TSM</v>
          </cell>
          <cell r="C26" t="str">
            <v>Taiwan Semiconductor Manufacturing Co., Ltd. Sponsored ADR</v>
          </cell>
          <cell r="D26" t="str">
            <v>Semiconductors</v>
          </cell>
          <cell r="E26">
            <v>5186.5050000000001</v>
          </cell>
          <cell r="F26">
            <v>5186.0086000000001</v>
          </cell>
          <cell r="G26">
            <v>1592363.9406300001</v>
          </cell>
          <cell r="H26">
            <v>1592315.3</v>
          </cell>
          <cell r="I26">
            <v>90267.771901043394</v>
          </cell>
          <cell r="J26">
            <v>33764.819181048602</v>
          </cell>
          <cell r="K26">
            <v>-56502.952719994792</v>
          </cell>
          <cell r="L26">
            <v>1535860.9879100053</v>
          </cell>
          <cell r="M26">
            <v>1196133.72507878</v>
          </cell>
          <cell r="O26">
            <v>307.05</v>
          </cell>
          <cell r="P26">
            <v>141.37</v>
          </cell>
          <cell r="Q26">
            <v>307.05</v>
          </cell>
          <cell r="R26">
            <v>1</v>
          </cell>
          <cell r="S26">
            <v>295.27</v>
          </cell>
          <cell r="T26">
            <v>258.91000000000003</v>
          </cell>
          <cell r="U26">
            <v>211.1</v>
          </cell>
          <cell r="V26">
            <v>3.9895688691705899E-2</v>
          </cell>
          <cell r="W26">
            <v>0.18593333590823069</v>
          </cell>
          <cell r="X26">
            <v>0.4545239223117008</v>
          </cell>
          <cell r="Z26">
            <v>90115.570103717604</v>
          </cell>
          <cell r="AA26">
            <v>122477.14</v>
          </cell>
          <cell r="AB26">
            <v>149666.42000000001</v>
          </cell>
          <cell r="AC26">
            <v>148102.10999999999</v>
          </cell>
          <cell r="AD26">
            <v>72821.42</v>
          </cell>
          <cell r="AE26">
            <v>88814.14</v>
          </cell>
          <cell r="AF26">
            <v>61101.491999999998</v>
          </cell>
          <cell r="AG26">
            <v>74518.36</v>
          </cell>
          <cell r="AH26">
            <v>61836.565609999998</v>
          </cell>
          <cell r="AI26">
            <v>84155.414000000004</v>
          </cell>
          <cell r="AJ26">
            <v>102767.67</v>
          </cell>
          <cell r="AK26">
            <v>101696.83</v>
          </cell>
          <cell r="AL26">
            <v>40009.56</v>
          </cell>
          <cell r="AM26">
            <v>45044.245999999999</v>
          </cell>
          <cell r="AN26">
            <v>44145.854000000007</v>
          </cell>
          <cell r="AO26">
            <v>57723.423999999999</v>
          </cell>
          <cell r="AP26">
            <v>53805.163999999997</v>
          </cell>
          <cell r="AQ26">
            <v>65035.887000000002</v>
          </cell>
          <cell r="AR26">
            <v>64389.74</v>
          </cell>
          <cell r="AS26">
            <v>0.35911185890558284</v>
          </cell>
          <cell r="AT26">
            <v>0.2219947330579406</v>
          </cell>
          <cell r="AU26">
            <v>0.59457152575574512</v>
          </cell>
          <cell r="AV26">
            <v>0.59341394014769644</v>
          </cell>
          <cell r="AW26">
            <v>0.49888078705952799</v>
          </cell>
          <cell r="AX26">
            <v>0.49789632169995107</v>
          </cell>
          <cell r="AY26">
            <v>0.68619180391168622</v>
          </cell>
          <cell r="AZ26">
            <v>0.68711119479112592</v>
          </cell>
          <cell r="BA26">
            <v>0.68664480649700843</v>
          </cell>
          <cell r="BB26">
            <v>0.36044158117996555</v>
          </cell>
          <cell r="BC26">
            <v>0.38568052873851055</v>
          </cell>
          <cell r="BD26">
            <v>0.43930780878782766</v>
          </cell>
          <cell r="BE26">
            <v>0.43453893665659937</v>
          </cell>
          <cell r="BF26">
            <v>2.7724316911355438E-2</v>
          </cell>
          <cell r="BG26">
            <v>3.6251252500054482E-2</v>
          </cell>
          <cell r="BI26">
            <v>8.0764124500237031</v>
          </cell>
          <cell r="BJ26">
            <v>9.7661794280857634</v>
          </cell>
          <cell r="BK26">
            <v>7.9919979717479706</v>
          </cell>
          <cell r="BL26">
            <v>16.425575401836163</v>
          </cell>
          <cell r="BM26">
            <v>13.467829841946113</v>
          </cell>
          <cell r="BN26">
            <v>19.576178681181467</v>
          </cell>
          <cell r="BO26">
            <v>16.051530456102093</v>
          </cell>
          <cell r="BP26">
            <v>11.761760175600163</v>
          </cell>
          <cell r="BQ26">
            <v>14.213390062804276</v>
          </cell>
          <cell r="BR26">
            <v>11.639202534014638</v>
          </cell>
          <cell r="BS26">
            <v>27.09504102194466</v>
          </cell>
          <cell r="BT26">
            <v>20.721808274553844</v>
          </cell>
          <cell r="BU26">
            <v>24.729332654550245</v>
          </cell>
          <cell r="BV26">
            <v>29.594098068356416</v>
          </cell>
          <cell r="BW26">
            <v>24.483640855086669</v>
          </cell>
          <cell r="BY26">
            <v>7.0277267727642299</v>
          </cell>
          <cell r="BZ26">
            <v>6.9628741640657097</v>
          </cell>
          <cell r="CA26">
            <v>6.7815548489728901</v>
          </cell>
          <cell r="CB26">
            <v>10.386351609756099</v>
          </cell>
          <cell r="CC26">
            <v>10.254478071047201</v>
          </cell>
          <cell r="CD26">
            <v>9.9797307119967194</v>
          </cell>
          <cell r="CE26">
            <v>21.624994847222201</v>
          </cell>
          <cell r="CF26">
            <v>21.661147112325999</v>
          </cell>
          <cell r="CG26">
            <v>20.634005809466998</v>
          </cell>
          <cell r="CI26">
            <v>0.14922117936110246</v>
          </cell>
          <cell r="CJ26">
            <v>0.15992509123671783</v>
          </cell>
          <cell r="CK26">
            <v>0.19093815944686021</v>
          </cell>
          <cell r="CL26">
            <v>0.13242461044281573</v>
          </cell>
          <cell r="CM26">
            <v>0.14698769592268834</v>
          </cell>
          <cell r="CN26">
            <v>0.17856488466780474</v>
          </cell>
          <cell r="CO26">
            <v>0.14355322760813549</v>
          </cell>
          <cell r="CP26">
            <v>0.14164464727162729</v>
          </cell>
          <cell r="CQ26">
            <v>0.19847463856021053</v>
          </cell>
        </row>
        <row r="27">
          <cell r="B27" t="str">
            <v>NKE</v>
          </cell>
          <cell r="C27" t="str">
            <v>NIKE, Inc. Class B</v>
          </cell>
          <cell r="D27" t="str">
            <v>Apparel/Footwear</v>
          </cell>
          <cell r="E27">
            <v>1189.3136</v>
          </cell>
          <cell r="F27">
            <v>1479</v>
          </cell>
          <cell r="G27">
            <v>96467.774999999994</v>
          </cell>
          <cell r="H27">
            <v>96415.46</v>
          </cell>
          <cell r="I27">
            <v>8575</v>
          </cell>
          <cell r="J27">
            <v>11061</v>
          </cell>
          <cell r="K27">
            <v>2486</v>
          </cell>
          <cell r="L27">
            <v>98953.774999999994</v>
          </cell>
          <cell r="M27">
            <v>98828.06</v>
          </cell>
          <cell r="O27">
            <v>65.224999999999994</v>
          </cell>
          <cell r="P27">
            <v>53.27</v>
          </cell>
          <cell r="Q27">
            <v>81.72</v>
          </cell>
          <cell r="R27">
            <v>0.79815222711698475</v>
          </cell>
          <cell r="S27">
            <v>60.8</v>
          </cell>
          <cell r="T27">
            <v>74.33</v>
          </cell>
          <cell r="U27">
            <v>60.53</v>
          </cell>
          <cell r="V27">
            <v>7.2779605263157743E-2</v>
          </cell>
          <cell r="W27">
            <v>-0.12249428225480974</v>
          </cell>
          <cell r="X27">
            <v>7.7564843879068146E-2</v>
          </cell>
          <cell r="Z27">
            <v>48668.333334000003</v>
          </cell>
          <cell r="AA27">
            <v>46589.84</v>
          </cell>
          <cell r="AB27">
            <v>48205.46</v>
          </cell>
          <cell r="AC27">
            <v>48066.366999999998</v>
          </cell>
          <cell r="AD27">
            <v>19600</v>
          </cell>
          <cell r="AE27">
            <v>20465.032999999999</v>
          </cell>
          <cell r="AF27">
            <v>3319.3789999999999</v>
          </cell>
          <cell r="AG27">
            <v>3849.4259999999999</v>
          </cell>
          <cell r="AH27">
            <v>5898</v>
          </cell>
          <cell r="AI27">
            <v>4059.652</v>
          </cell>
          <cell r="AJ27">
            <v>4502.7025999999996</v>
          </cell>
          <cell r="AK27">
            <v>4427.7285000000002</v>
          </cell>
          <cell r="AL27">
            <v>858.84076000000005</v>
          </cell>
          <cell r="AM27">
            <v>967.87210000000005</v>
          </cell>
          <cell r="AN27">
            <v>3200.81124</v>
          </cell>
          <cell r="AO27">
            <v>3534.8304999999996</v>
          </cell>
          <cell r="AP27">
            <v>2771.0154000000002</v>
          </cell>
          <cell r="AQ27">
            <v>3153.9762999999998</v>
          </cell>
          <cell r="AR27">
            <v>3085.3766999999998</v>
          </cell>
          <cell r="AS27">
            <v>-4.2707304557478176E-2</v>
          </cell>
          <cell r="AT27">
            <v>3.467751767338112E-2</v>
          </cell>
          <cell r="AU27">
            <v>0.42069258018486438</v>
          </cell>
          <cell r="AV27">
            <v>0.42453765610783506</v>
          </cell>
          <cell r="AW27">
            <v>7.1246842659257903E-2</v>
          </cell>
          <cell r="AX27">
            <v>7.9854564192520933E-2</v>
          </cell>
          <cell r="AY27">
            <v>0.12118763055893718</v>
          </cell>
          <cell r="AZ27">
            <v>8.7135993598604342E-2</v>
          </cell>
          <cell r="BA27">
            <v>9.3406485489403057E-2</v>
          </cell>
          <cell r="BB27">
            <v>6.8701915267363023E-2</v>
          </cell>
          <cell r="BC27">
            <v>7.3328425867111316E-2</v>
          </cell>
          <cell r="BD27">
            <v>5.9476817263162965E-2</v>
          </cell>
          <cell r="BE27">
            <v>6.5427781417291733E-2</v>
          </cell>
          <cell r="BF27">
            <v>3.319811200402923E-2</v>
          </cell>
          <cell r="BG27">
            <v>3.6662486493348675E-2</v>
          </cell>
          <cell r="BI27">
            <v>2.0560750930063012</v>
          </cell>
          <cell r="BJ27">
            <v>2.1212363038808464</v>
          </cell>
          <cell r="BK27">
            <v>2.0501424527429051</v>
          </cell>
          <cell r="BL27">
            <v>5.0422479591836735</v>
          </cell>
          <cell r="BM27">
            <v>4.8291180375814688</v>
          </cell>
          <cell r="BN27">
            <v>29.773056948302681</v>
          </cell>
          <cell r="BO27">
            <v>25.67345365257054</v>
          </cell>
          <cell r="BP27">
            <v>22.32026195824789</v>
          </cell>
          <cell r="BQ27">
            <v>24.343973325792458</v>
          </cell>
          <cell r="BR27">
            <v>21.948609264133946</v>
          </cell>
          <cell r="BS27">
            <v>30.875941312927907</v>
          </cell>
          <cell r="BT27">
            <v>27.958358965161132</v>
          </cell>
          <cell r="BU27">
            <v>31.249169671891284</v>
          </cell>
          <cell r="BV27">
            <v>34.794270721122658</v>
          </cell>
          <cell r="BW27">
            <v>30.569494133484774</v>
          </cell>
          <cell r="BY27">
            <v>2.2493045218254002</v>
          </cell>
          <cell r="BZ27">
            <v>2.4672565825049699</v>
          </cell>
          <cell r="CA27">
            <v>3.3757069407319</v>
          </cell>
          <cell r="CB27">
            <v>24.765418611111102</v>
          </cell>
          <cell r="CC27">
            <v>22.0879193976143</v>
          </cell>
          <cell r="CD27">
            <v>23.609042669848801</v>
          </cell>
          <cell r="CE27">
            <v>33.830632809523799</v>
          </cell>
          <cell r="CF27">
            <v>29.480087860834999</v>
          </cell>
          <cell r="CG27">
            <v>30.964258352426398</v>
          </cell>
          <cell r="CI27">
            <v>-8.5906299900329053E-2</v>
          </cell>
          <cell r="CJ27">
            <v>-0.1666553419754998</v>
          </cell>
          <cell r="CK27">
            <v>-0.39092014528947361</v>
          </cell>
          <cell r="CL27">
            <v>-9.8732700272878948E-2</v>
          </cell>
          <cell r="CM27">
            <v>1.0518988069952995E-2</v>
          </cell>
          <cell r="CN27">
            <v>-5.4588435864314722E-2</v>
          </cell>
          <cell r="CO27">
            <v>-7.6305493668028523E-2</v>
          </cell>
          <cell r="CP27">
            <v>6.0009380548914582E-2</v>
          </cell>
          <cell r="CQ27">
            <v>9.2012964180219203E-3</v>
          </cell>
        </row>
        <row r="28">
          <cell r="B28" t="str">
            <v>ADS-DE</v>
          </cell>
          <cell r="C28" t="str">
            <v>adidas AG</v>
          </cell>
          <cell r="D28" t="str">
            <v>Apparel/Footwear</v>
          </cell>
          <cell r="E28">
            <v>180</v>
          </cell>
          <cell r="F28">
            <v>178.68217054263999</v>
          </cell>
          <cell r="G28">
            <v>33709.928139535703</v>
          </cell>
          <cell r="H28">
            <v>33684.82</v>
          </cell>
          <cell r="I28">
            <v>1210.24995088577</v>
          </cell>
          <cell r="J28">
            <v>6379.0747411251104</v>
          </cell>
          <cell r="K28">
            <v>5168.8247902393405</v>
          </cell>
          <cell r="L28">
            <v>38878.752929775044</v>
          </cell>
          <cell r="M28">
            <v>39326.427911607498</v>
          </cell>
          <cell r="O28">
            <v>188.65860000000001</v>
          </cell>
          <cell r="P28">
            <v>174.36275000000001</v>
          </cell>
          <cell r="Q28">
            <v>274.50537000000003</v>
          </cell>
          <cell r="R28">
            <v>0.68726742941312946</v>
          </cell>
          <cell r="S28">
            <v>182.08832000000001</v>
          </cell>
          <cell r="T28">
            <v>209.69662</v>
          </cell>
          <cell r="U28">
            <v>230.87</v>
          </cell>
          <cell r="V28">
            <v>3.6082929426774824E-2</v>
          </cell>
          <cell r="W28">
            <v>-0.10032598522570368</v>
          </cell>
          <cell r="X28">
            <v>-0.18283622818036127</v>
          </cell>
          <cell r="Z28">
            <v>25617.682938575701</v>
          </cell>
          <cell r="AA28">
            <v>29029.521000000001</v>
          </cell>
          <cell r="AB28">
            <v>31374.826000000001</v>
          </cell>
          <cell r="AC28">
            <v>31239.89</v>
          </cell>
          <cell r="AD28">
            <v>14912.383</v>
          </cell>
          <cell r="AE28">
            <v>16352.509</v>
          </cell>
          <cell r="AF28">
            <v>2370.8726000000001</v>
          </cell>
          <cell r="AG28">
            <v>3208.6147000000001</v>
          </cell>
          <cell r="AH28">
            <v>2617.6917100000001</v>
          </cell>
          <cell r="AI28">
            <v>3743.951</v>
          </cell>
          <cell r="AJ28">
            <v>4671.9813999999997</v>
          </cell>
          <cell r="AK28">
            <v>4618.5879999999997</v>
          </cell>
          <cell r="AL28">
            <v>703.88495</v>
          </cell>
          <cell r="AM28">
            <v>768.69569999999999</v>
          </cell>
          <cell r="AN28">
            <v>3040.0660499999999</v>
          </cell>
          <cell r="AO28">
            <v>3903.2856999999995</v>
          </cell>
          <cell r="AP28">
            <v>1581.7248999999999</v>
          </cell>
          <cell r="AQ28">
            <v>2246.9868000000001</v>
          </cell>
          <cell r="AR28">
            <v>2208.7114000000001</v>
          </cell>
          <cell r="AS28">
            <v>0.13318292952586575</v>
          </cell>
          <cell r="AT28">
            <v>8.0790344422148719E-2</v>
          </cell>
          <cell r="AU28">
            <v>0.51369717743534249</v>
          </cell>
          <cell r="AV28">
            <v>0.52119839644688382</v>
          </cell>
          <cell r="AW28">
            <v>8.1671089233611535E-2</v>
          </cell>
          <cell r="AX28">
            <v>0.10226717113905269</v>
          </cell>
          <cell r="AY28">
            <v>0.10218300055772098</v>
          </cell>
          <cell r="AZ28">
            <v>0.12897047112833862</v>
          </cell>
          <cell r="BA28">
            <v>0.1489085995249822</v>
          </cell>
          <cell r="BB28">
            <v>0.10472325912645958</v>
          </cell>
          <cell r="BC28">
            <v>0.12440820229568761</v>
          </cell>
          <cell r="BD28">
            <v>5.4486772275712018E-2</v>
          </cell>
          <cell r="BE28">
            <v>7.1617506340911657E-2</v>
          </cell>
          <cell r="BF28">
            <v>9.0250327892504686E-2</v>
          </cell>
          <cell r="BG28">
            <v>0.11587669757475325</v>
          </cell>
          <cell r="BI28">
            <v>1.2588529572801792</v>
          </cell>
          <cell r="BJ28">
            <v>1.3547046784412149</v>
          </cell>
          <cell r="BK28">
            <v>1.2534389166527169</v>
          </cell>
          <cell r="BL28">
            <v>2.6371658984085573</v>
          </cell>
          <cell r="BM28">
            <v>2.4049170626726148</v>
          </cell>
          <cell r="BN28">
            <v>16.58732228446501</v>
          </cell>
          <cell r="BO28">
            <v>12.256513040224959</v>
          </cell>
          <cell r="BP28">
            <v>8.5148161974195364</v>
          </cell>
          <cell r="BQ28">
            <v>10.503991080975018</v>
          </cell>
          <cell r="BR28">
            <v>8.417505239127772</v>
          </cell>
          <cell r="BS28">
            <v>12.936043909837913</v>
          </cell>
          <cell r="BT28">
            <v>10.07521122822434</v>
          </cell>
          <cell r="BU28">
            <v>15.250892443440097</v>
          </cell>
          <cell r="BV28">
            <v>21.296257016627859</v>
          </cell>
          <cell r="BW28">
            <v>14.991107201875863</v>
          </cell>
          <cell r="BY28">
            <v>1.5399133074509801</v>
          </cell>
          <cell r="BZ28">
            <v>1.6568309121568601</v>
          </cell>
          <cell r="CA28">
            <v>1.78958052339859</v>
          </cell>
          <cell r="CB28">
            <v>11.3317943901961</v>
          </cell>
          <cell r="CC28">
            <v>13.8974561588235</v>
          </cell>
          <cell r="CD28">
            <v>14.910675936570099</v>
          </cell>
          <cell r="CE28">
            <v>22.7790884137255</v>
          </cell>
          <cell r="CF28">
            <v>32.635909559803899</v>
          </cell>
          <cell r="CG28">
            <v>80.5004398008994</v>
          </cell>
          <cell r="CI28">
            <v>-0.18251699547686895</v>
          </cell>
          <cell r="CJ28">
            <v>-0.24020432740393149</v>
          </cell>
          <cell r="CK28">
            <v>-0.29656534544224178</v>
          </cell>
          <cell r="CL28">
            <v>-0.2485906552640702</v>
          </cell>
          <cell r="CM28">
            <v>-0.38731116687038614</v>
          </cell>
          <cell r="CN28">
            <v>-0.42894498990914298</v>
          </cell>
          <cell r="CO28">
            <v>-0.3304871482806705</v>
          </cell>
          <cell r="CP28">
            <v>-0.53269595825133986</v>
          </cell>
          <cell r="CQ28">
            <v>-0.81054895499751412</v>
          </cell>
        </row>
        <row r="29">
          <cell r="B29" t="str">
            <v>PUM-DE</v>
          </cell>
          <cell r="C29" t="str">
            <v>PUMA SE</v>
          </cell>
          <cell r="D29" t="str">
            <v>Apparel/Footwear</v>
          </cell>
          <cell r="E29">
            <v>148.00792000000001</v>
          </cell>
          <cell r="F29">
            <v>147.47</v>
          </cell>
          <cell r="G29">
            <v>3476.6123285599997</v>
          </cell>
          <cell r="H29">
            <v>3428.9072000000001</v>
          </cell>
          <cell r="I29">
            <v>311.37498736381502</v>
          </cell>
          <cell r="J29">
            <v>3188.1273706197699</v>
          </cell>
          <cell r="K29">
            <v>2876.752383255955</v>
          </cell>
          <cell r="L29">
            <v>6353.3647118159552</v>
          </cell>
          <cell r="M29">
            <v>6353.3647118159597</v>
          </cell>
          <cell r="O29">
            <v>23.575047999999999</v>
          </cell>
          <cell r="P29">
            <v>17.899982000000001</v>
          </cell>
          <cell r="Q29">
            <v>49.206851999999998</v>
          </cell>
          <cell r="R29">
            <v>0.47910091870945126</v>
          </cell>
          <cell r="S29">
            <v>18.728421999999998</v>
          </cell>
          <cell r="T29">
            <v>22.277338</v>
          </cell>
          <cell r="U29">
            <v>24.379871000000001</v>
          </cell>
          <cell r="V29">
            <v>0.25878453614511687</v>
          </cell>
          <cell r="W29">
            <v>5.825247163732028E-2</v>
          </cell>
          <cell r="X29">
            <v>-3.30117825479882E-2</v>
          </cell>
          <cell r="Z29">
            <v>9537.4840183258093</v>
          </cell>
          <cell r="AA29">
            <v>8638.9220000000005</v>
          </cell>
          <cell r="AB29">
            <v>8373.6049999999996</v>
          </cell>
          <cell r="AC29">
            <v>8388.8700000000008</v>
          </cell>
          <cell r="AD29">
            <v>3889.1194</v>
          </cell>
          <cell r="AE29">
            <v>3854.9713999999999</v>
          </cell>
          <cell r="AF29">
            <v>-212.292</v>
          </cell>
          <cell r="AG29">
            <v>18.561668000000001</v>
          </cell>
          <cell r="AH29">
            <v>1014.8423</v>
          </cell>
          <cell r="AI29">
            <v>309.08240000000001</v>
          </cell>
          <cell r="AJ29">
            <v>416.50806</v>
          </cell>
          <cell r="AK29">
            <v>410.32740000000001</v>
          </cell>
          <cell r="AL29">
            <v>295.77050000000003</v>
          </cell>
          <cell r="AM29">
            <v>260.6628</v>
          </cell>
          <cell r="AN29">
            <v>13.31189999999998</v>
          </cell>
          <cell r="AO29">
            <v>155.84526</v>
          </cell>
          <cell r="AP29">
            <v>-589.85155999999995</v>
          </cell>
          <cell r="AQ29">
            <v>-174.96025</v>
          </cell>
          <cell r="AR29">
            <v>-198.83070000000001</v>
          </cell>
          <cell r="AS29">
            <v>-9.4213737773952366E-2</v>
          </cell>
          <cell r="AT29">
            <v>-3.0711817979141465E-2</v>
          </cell>
          <cell r="AU29">
            <v>0.4501857291916746</v>
          </cell>
          <cell r="AV29">
            <v>0.46037177535840301</v>
          </cell>
          <cell r="AW29">
            <v>-2.4573899382353492E-2</v>
          </cell>
          <cell r="AX29">
            <v>2.2166877945639903E-3</v>
          </cell>
          <cell r="AY29">
            <v>0.10640566191775841</v>
          </cell>
          <cell r="AZ29">
            <v>3.5777889880242005E-2</v>
          </cell>
          <cell r="BA29">
            <v>4.9740590820799409E-2</v>
          </cell>
          <cell r="BB29">
            <v>1.5409214251500337E-3</v>
          </cell>
          <cell r="BC29">
            <v>1.8611489316727983E-2</v>
          </cell>
          <cell r="BD29">
            <v>-6.8278375473236119E-2</v>
          </cell>
          <cell r="BE29">
            <v>-2.0894256416441905E-2</v>
          </cell>
          <cell r="BF29">
            <v>3.8822572976019822E-3</v>
          </cell>
          <cell r="BG29">
            <v>4.5450416389221614E-2</v>
          </cell>
          <cell r="BI29">
            <v>0.7573564391647456</v>
          </cell>
          <cell r="BJ29">
            <v>0.73543489706423548</v>
          </cell>
          <cell r="BK29">
            <v>0.75873709254448474</v>
          </cell>
          <cell r="BL29">
            <v>1.6336255224809915</v>
          </cell>
          <cell r="BM29">
            <v>1.6480964584629498</v>
          </cell>
          <cell r="BN29" t="str">
            <v>--</v>
          </cell>
          <cell r="BO29" t="str">
            <v>--</v>
          </cell>
          <cell r="BP29">
            <v>15.483647233443245</v>
          </cell>
          <cell r="BQ29">
            <v>20.555569362137604</v>
          </cell>
          <cell r="BR29">
            <v>15.253881789984952</v>
          </cell>
          <cell r="BS29" t="str">
            <v>--</v>
          </cell>
          <cell r="BT29">
            <v>40.767134732336167</v>
          </cell>
          <cell r="BU29" t="str">
            <v>--</v>
          </cell>
          <cell r="BV29" t="str">
            <v>--</v>
          </cell>
          <cell r="BW29" t="str">
            <v>--</v>
          </cell>
          <cell r="BY29">
            <v>0.66802261690196096</v>
          </cell>
          <cell r="BZ29">
            <v>0.77112837041176396</v>
          </cell>
          <cell r="CA29">
            <v>1.2348282372200501</v>
          </cell>
          <cell r="CB29">
            <v>8.5074246878431392</v>
          </cell>
          <cell r="CC29">
            <v>7.95063604392156</v>
          </cell>
          <cell r="CD29">
            <v>10.6164076245106</v>
          </cell>
          <cell r="CE29">
            <v>16.589485768987402</v>
          </cell>
          <cell r="CF29">
            <v>16.317839187651298</v>
          </cell>
          <cell r="CG29">
            <v>24.317699024152599</v>
          </cell>
          <cell r="CI29">
            <v>0.13372873912126138</v>
          </cell>
          <cell r="CJ29">
            <v>-1.7859453465140285E-2</v>
          </cell>
          <cell r="CK29">
            <v>-0.38667061836084138</v>
          </cell>
          <cell r="CL29">
            <v>0.82001578639525574</v>
          </cell>
          <cell r="CM29">
            <v>0.94747277424185961</v>
          </cell>
          <cell r="CN29">
            <v>0.45846389674181487</v>
          </cell>
          <cell r="CO29" t="str">
            <v>--</v>
          </cell>
          <cell r="CP29" t="str">
            <v>--</v>
          </cell>
          <cell r="CQ29" t="str">
            <v>--</v>
          </cell>
        </row>
        <row r="30">
          <cell r="B30" t="str">
            <v>UAA</v>
          </cell>
          <cell r="C30" t="str">
            <v>Under Armour, Inc. Class A</v>
          </cell>
          <cell r="D30" t="str">
            <v>Apparel/Footwear</v>
          </cell>
          <cell r="E30">
            <v>188.83438000000001</v>
          </cell>
          <cell r="F30">
            <v>428.35</v>
          </cell>
          <cell r="G30">
            <v>1884.7400000000002</v>
          </cell>
          <cell r="H30">
            <v>1865.1116999999999</v>
          </cell>
          <cell r="I30">
            <v>1003.836</v>
          </cell>
          <cell r="J30">
            <v>1899.7819999999999</v>
          </cell>
          <cell r="K30">
            <v>895.94599999999991</v>
          </cell>
          <cell r="L30">
            <v>2780.6860000000001</v>
          </cell>
          <cell r="M30">
            <v>2789.2530000000002</v>
          </cell>
          <cell r="O30">
            <v>4.4000000000000004</v>
          </cell>
          <cell r="P30">
            <v>4.17</v>
          </cell>
          <cell r="Q30">
            <v>10.3</v>
          </cell>
          <cell r="R30">
            <v>0.42718446601941751</v>
          </cell>
          <cell r="S30">
            <v>4.4800000000000004</v>
          </cell>
          <cell r="T30">
            <v>5.03</v>
          </cell>
          <cell r="U30">
            <v>6.6</v>
          </cell>
          <cell r="V30">
            <v>-1.7857142857142905E-2</v>
          </cell>
          <cell r="W30">
            <v>-0.125248508946322</v>
          </cell>
          <cell r="X30">
            <v>-0.33333333333333326</v>
          </cell>
          <cell r="Z30">
            <v>5321.1239999999998</v>
          </cell>
          <cell r="AA30">
            <v>4995.8783999999996</v>
          </cell>
          <cell r="AB30">
            <v>4998.4620000000004</v>
          </cell>
          <cell r="AC30">
            <v>4994.0550000000003</v>
          </cell>
          <cell r="AD30">
            <v>2318.8854999999999</v>
          </cell>
          <cell r="AE30">
            <v>2302.4202</v>
          </cell>
          <cell r="AF30">
            <v>121.17310000000001</v>
          </cell>
          <cell r="AG30">
            <v>137.77109999999999</v>
          </cell>
          <cell r="AH30">
            <v>368.83300000000003</v>
          </cell>
          <cell r="AI30">
            <v>246.43343999999999</v>
          </cell>
          <cell r="AJ30">
            <v>259.16565000000003</v>
          </cell>
          <cell r="AK30">
            <v>256.01391999999998</v>
          </cell>
          <cell r="AL30">
            <v>145.90646000000001</v>
          </cell>
          <cell r="AM30">
            <v>158.00291000000001</v>
          </cell>
          <cell r="AN30">
            <v>100.52697999999998</v>
          </cell>
          <cell r="AO30">
            <v>101.16274000000001</v>
          </cell>
          <cell r="AP30">
            <v>48.909190000000002</v>
          </cell>
          <cell r="AQ30">
            <v>70.7988</v>
          </cell>
          <cell r="AR30">
            <v>66.973969999999994</v>
          </cell>
          <cell r="AS30">
            <v>-6.1123476919538122E-2</v>
          </cell>
          <cell r="AT30">
            <v>5.1714629403321055E-4</v>
          </cell>
          <cell r="AU30">
            <v>0.46415971613720625</v>
          </cell>
          <cell r="AV30">
            <v>0.46062572847407857</v>
          </cell>
          <cell r="AW30">
            <v>2.4254613563052297E-2</v>
          </cell>
          <cell r="AX30">
            <v>2.7562698285992768E-2</v>
          </cell>
          <cell r="AY30">
            <v>6.9314866558268518E-2</v>
          </cell>
          <cell r="AZ30">
            <v>4.9327349520756951E-2</v>
          </cell>
          <cell r="BA30">
            <v>5.1849078776631696E-2</v>
          </cell>
          <cell r="BB30">
            <v>2.0121982952987803E-2</v>
          </cell>
          <cell r="BC30">
            <v>2.023877344671221E-2</v>
          </cell>
          <cell r="BD30">
            <v>9.7899080169765555E-3</v>
          </cell>
          <cell r="BE30">
            <v>1.4164116882353011E-2</v>
          </cell>
          <cell r="BF30">
            <v>5.3898637813488588E-2</v>
          </cell>
          <cell r="BG30">
            <v>5.4239507478292058E-2</v>
          </cell>
          <cell r="BI30">
            <v>0.55851467394732335</v>
          </cell>
          <cell r="BJ30">
            <v>0.55831082678073196</v>
          </cell>
          <cell r="BK30">
            <v>0.55802224764337505</v>
          </cell>
          <cell r="BL30">
            <v>1.202842054944067</v>
          </cell>
          <cell r="BM30">
            <v>1.211443940597811</v>
          </cell>
          <cell r="BN30">
            <v>23.018747560308352</v>
          </cell>
          <cell r="BO30">
            <v>20.245559482358786</v>
          </cell>
          <cell r="BP30">
            <v>10.894927119587873</v>
          </cell>
          <cell r="BQ30">
            <v>11.318484212207565</v>
          </cell>
          <cell r="BR30">
            <v>10.762433215975959</v>
          </cell>
          <cell r="BS30">
            <v>27.746312482479834</v>
          </cell>
          <cell r="BT30">
            <v>27.571940024558447</v>
          </cell>
          <cell r="BU30">
            <v>27.8483073349243</v>
          </cell>
          <cell r="BV30">
            <v>38.134176828526499</v>
          </cell>
          <cell r="BW30">
            <v>26.343832098849131</v>
          </cell>
          <cell r="BY30">
            <v>0.67725532285714296</v>
          </cell>
          <cell r="BZ30">
            <v>0.70935697262425501</v>
          </cell>
          <cell r="CA30">
            <v>1.03735547996022</v>
          </cell>
          <cell r="CB30">
            <v>11.0311215436508</v>
          </cell>
          <cell r="CC30">
            <v>10.847941232803199</v>
          </cell>
          <cell r="CD30">
            <v>13.367881953778801</v>
          </cell>
          <cell r="CE30">
            <v>24.093956047618999</v>
          </cell>
          <cell r="CF30">
            <v>22.8487683976143</v>
          </cell>
          <cell r="CG30">
            <v>75.639514866100299</v>
          </cell>
          <cell r="CI30">
            <v>-0.17532626898949633</v>
          </cell>
          <cell r="CJ30">
            <v>-0.21264652988310373</v>
          </cell>
          <cell r="CK30">
            <v>-0.46159760589615728</v>
          </cell>
          <cell r="CL30">
            <v>-1.2346380512987531E-2</v>
          </cell>
          <cell r="CM30">
            <v>4.3313183373996367E-3</v>
          </cell>
          <cell r="CN30">
            <v>-0.1849922704839474</v>
          </cell>
          <cell r="CO30">
            <v>0.15582128895251768</v>
          </cell>
          <cell r="CP30">
            <v>0.21880999668376067</v>
          </cell>
          <cell r="CQ30">
            <v>-0.6318285834563806</v>
          </cell>
        </row>
        <row r="31">
          <cell r="B31" t="str">
            <v>UNH</v>
          </cell>
          <cell r="C31" t="str">
            <v>UnitedHealth Group Incorporated</v>
          </cell>
          <cell r="D31" t="str">
            <v>Managed Health Care</v>
          </cell>
          <cell r="E31">
            <v>905.83860000000004</v>
          </cell>
          <cell r="F31">
            <v>908</v>
          </cell>
          <cell r="G31">
            <v>295081.74919999996</v>
          </cell>
          <cell r="H31">
            <v>294379.46999999997</v>
          </cell>
          <cell r="I31" t="e">
            <v>#N/A</v>
          </cell>
          <cell r="J31">
            <v>80136</v>
          </cell>
          <cell r="K31" t="e">
            <v>#N/A</v>
          </cell>
          <cell r="L31" t="e">
            <v>#N/A</v>
          </cell>
          <cell r="M31">
            <v>357775.06</v>
          </cell>
          <cell r="O31">
            <v>324.97989999999999</v>
          </cell>
          <cell r="P31">
            <v>237.77</v>
          </cell>
          <cell r="Q31">
            <v>599.47</v>
          </cell>
          <cell r="R31">
            <v>0.542112032295194</v>
          </cell>
          <cell r="S31">
            <v>321.58</v>
          </cell>
          <cell r="T31">
            <v>353.61</v>
          </cell>
          <cell r="U31">
            <v>313.52999999999997</v>
          </cell>
          <cell r="V31">
            <v>1.0572485851110258E-2</v>
          </cell>
          <cell r="W31">
            <v>-8.0965187636096392E-2</v>
          </cell>
          <cell r="X31">
            <v>3.6519312346505961E-2</v>
          </cell>
          <cell r="Z31">
            <v>400278</v>
          </cell>
          <cell r="AA31">
            <v>447439.7</v>
          </cell>
          <cell r="AB31">
            <v>453200.7</v>
          </cell>
          <cell r="AC31">
            <v>452869.22</v>
          </cell>
          <cell r="AD31">
            <v>82192</v>
          </cell>
          <cell r="AE31">
            <v>84958</v>
          </cell>
          <cell r="AF31">
            <v>22264.53</v>
          </cell>
          <cell r="AG31">
            <v>24113.84</v>
          </cell>
          <cell r="AH31">
            <v>38280.112999999998</v>
          </cell>
          <cell r="AI31">
            <v>26429.491999999998</v>
          </cell>
          <cell r="AJ31">
            <v>28395.455000000002</v>
          </cell>
          <cell r="AK31">
            <v>28282.344000000001</v>
          </cell>
          <cell r="AL31">
            <v>3689.4956000000002</v>
          </cell>
          <cell r="AM31">
            <v>3906.1732999999999</v>
          </cell>
          <cell r="AN31">
            <v>22739.996399999996</v>
          </cell>
          <cell r="AO31">
            <v>24489.281700000003</v>
          </cell>
          <cell r="AP31">
            <v>14025.509</v>
          </cell>
          <cell r="AQ31">
            <v>15338.258</v>
          </cell>
          <cell r="AR31">
            <v>15262.729499999999</v>
          </cell>
          <cell r="AS31">
            <v>0.11782236345739716</v>
          </cell>
          <cell r="AT31">
            <v>1.2875477969433557E-2</v>
          </cell>
          <cell r="AU31">
            <v>0.18369402625649892</v>
          </cell>
          <cell r="AV31">
            <v>0.18746219941849163</v>
          </cell>
          <cell r="AW31">
            <v>4.9759844734385432E-2</v>
          </cell>
          <cell r="AX31">
            <v>5.320786132942866E-2</v>
          </cell>
          <cell r="AY31">
            <v>9.5633816997186955E-2</v>
          </cell>
          <cell r="AZ31">
            <v>5.9068276686221624E-2</v>
          </cell>
          <cell r="BA31">
            <v>6.2655364389331267E-2</v>
          </cell>
          <cell r="BB31">
            <v>5.0822482671966741E-2</v>
          </cell>
          <cell r="BC31">
            <v>5.4036283924539401E-2</v>
          </cell>
          <cell r="BD31">
            <v>3.1346143402116527E-2</v>
          </cell>
          <cell r="BE31">
            <v>3.3844294591777992E-2</v>
          </cell>
          <cell r="BF31">
            <v>7.7247222437080945E-2</v>
          </cell>
          <cell r="BG31">
            <v>8.3189502651119004E-2</v>
          </cell>
          <cell r="BI31">
            <v>0.79001849584743256</v>
          </cell>
          <cell r="BJ31">
            <v>0.79960508645075523</v>
          </cell>
          <cell r="BK31">
            <v>0.7894406606168084</v>
          </cell>
          <cell r="BL31">
            <v>4.3529182888845632</v>
          </cell>
          <cell r="BM31">
            <v>4.2111991807716755</v>
          </cell>
          <cell r="BN31">
            <v>16.06928419328861</v>
          </cell>
          <cell r="BO31">
            <v>14.836917720280137</v>
          </cell>
          <cell r="BP31">
            <v>12.650120513349247</v>
          </cell>
          <cell r="BQ31">
            <v>13.536963177347488</v>
          </cell>
          <cell r="BR31">
            <v>12.599729780699057</v>
          </cell>
          <cell r="BS31">
            <v>15.733294487240995</v>
          </cell>
          <cell r="BT31">
            <v>14.609455041713206</v>
          </cell>
          <cell r="BU31">
            <v>19.287472139239576</v>
          </cell>
          <cell r="BV31">
            <v>20.988861794605814</v>
          </cell>
          <cell r="BW31">
            <v>19.19249695760757</v>
          </cell>
          <cell r="BY31">
            <v>0.92708099876984096</v>
          </cell>
          <cell r="BZ31">
            <v>1.1295199695626199</v>
          </cell>
          <cell r="CA31">
            <v>1.3108267957756601</v>
          </cell>
          <cell r="CB31">
            <v>12.034964160714299</v>
          </cell>
          <cell r="CC31">
            <v>12.665101640159101</v>
          </cell>
          <cell r="CD31">
            <v>13.8980336583134</v>
          </cell>
          <cell r="CE31">
            <v>16.593439406746</v>
          </cell>
          <cell r="CF31">
            <v>17.477892116302201</v>
          </cell>
          <cell r="CG31">
            <v>19.175907999602199</v>
          </cell>
          <cell r="CI31">
            <v>-0.14784307207706648</v>
          </cell>
          <cell r="CJ31">
            <v>-0.30057146652011058</v>
          </cell>
          <cell r="CK31">
            <v>-0.3973128269933236</v>
          </cell>
          <cell r="CL31">
            <v>5.1114099254487178E-2</v>
          </cell>
          <cell r="CM31">
            <v>-1.1828666863873405E-3</v>
          </cell>
          <cell r="CN31">
            <v>-8.9790626188164913E-2</v>
          </cell>
          <cell r="CO31">
            <v>0.16235529394818093</v>
          </cell>
          <cell r="CP31">
            <v>0.10353536976289734</v>
          </cell>
          <cell r="CQ31">
            <v>5.8179325662017778E-3</v>
          </cell>
        </row>
        <row r="32">
          <cell r="B32" t="str">
            <v>ELV</v>
          </cell>
          <cell r="C32" t="str">
            <v>Elevance Health, Inc.</v>
          </cell>
          <cell r="D32" t="str">
            <v>Managed Health Care</v>
          </cell>
          <cell r="E32">
            <v>222.23876999999999</v>
          </cell>
          <cell r="F32">
            <v>223.7</v>
          </cell>
          <cell r="G32">
            <v>74720.27399999999</v>
          </cell>
          <cell r="H32">
            <v>74232.266000000003</v>
          </cell>
          <cell r="I32" t="e">
            <v>#N/A</v>
          </cell>
          <cell r="J32">
            <v>32102</v>
          </cell>
          <cell r="K32" t="e">
            <v>#N/A</v>
          </cell>
          <cell r="L32" t="e">
            <v>#N/A</v>
          </cell>
          <cell r="M32">
            <v>97969.834000000003</v>
          </cell>
          <cell r="O32">
            <v>334.02</v>
          </cell>
          <cell r="P32">
            <v>274.66000000000003</v>
          </cell>
          <cell r="Q32">
            <v>452.69</v>
          </cell>
          <cell r="R32">
            <v>0.73785592789767829</v>
          </cell>
          <cell r="S32">
            <v>303.77999999999997</v>
          </cell>
          <cell r="T32">
            <v>314.89</v>
          </cell>
          <cell r="U32">
            <v>384.55</v>
          </cell>
          <cell r="V32">
            <v>9.9545723879123083E-2</v>
          </cell>
          <cell r="W32">
            <v>6.07513734955063E-2</v>
          </cell>
          <cell r="X32">
            <v>-0.13140033805746987</v>
          </cell>
          <cell r="Z32">
            <v>176810</v>
          </cell>
          <cell r="AA32">
            <v>198536.66</v>
          </cell>
          <cell r="AB32">
            <v>205688.6</v>
          </cell>
          <cell r="AC32">
            <v>205277.13</v>
          </cell>
          <cell r="AD32">
            <v>49995</v>
          </cell>
          <cell r="AE32">
            <v>50126</v>
          </cell>
          <cell r="AF32">
            <v>8437.6049999999996</v>
          </cell>
          <cell r="AG32">
            <v>8105.2560000000003</v>
          </cell>
          <cell r="AH32">
            <v>10738.832</v>
          </cell>
          <cell r="AI32">
            <v>10013.77</v>
          </cell>
          <cell r="AJ32">
            <v>9373.1875</v>
          </cell>
          <cell r="AK32">
            <v>9410.0429999999997</v>
          </cell>
          <cell r="AL32">
            <v>-1161.9648</v>
          </cell>
          <cell r="AM32">
            <v>1366.69</v>
          </cell>
          <cell r="AN32">
            <v>11175.7348</v>
          </cell>
          <cell r="AO32">
            <v>8006.4974999999995</v>
          </cell>
          <cell r="AP32">
            <v>6754.9629999999997</v>
          </cell>
          <cell r="AQ32">
            <v>5776.7744000000002</v>
          </cell>
          <cell r="AR32">
            <v>5833.0537000000004</v>
          </cell>
          <cell r="AS32">
            <v>0.12288139811096666</v>
          </cell>
          <cell r="AT32">
            <v>3.6023271470367213E-2</v>
          </cell>
          <cell r="AU32">
            <v>0.25181747290399664</v>
          </cell>
          <cell r="AV32">
            <v>0.24369848401904626</v>
          </cell>
          <cell r="AW32">
            <v>4.2498977266969232E-2</v>
          </cell>
          <cell r="AX32">
            <v>3.9405470210794373E-2</v>
          </cell>
          <cell r="AY32">
            <v>6.0736564673943783E-2</v>
          </cell>
          <cell r="AZ32">
            <v>5.0437888901727269E-2</v>
          </cell>
          <cell r="BA32">
            <v>4.5569795798114238E-2</v>
          </cell>
          <cell r="BB32">
            <v>5.6290534957120768E-2</v>
          </cell>
          <cell r="BC32">
            <v>3.8925334218814264E-2</v>
          </cell>
          <cell r="BD32">
            <v>3.4023756620062004E-2</v>
          </cell>
          <cell r="BE32">
            <v>2.8085048952640058E-2</v>
          </cell>
          <cell r="BF32">
            <v>0.15055090464300255</v>
          </cell>
          <cell r="BG32">
            <v>0.10785737700638155</v>
          </cell>
          <cell r="BI32">
            <v>0.47725644839247316</v>
          </cell>
          <cell r="BJ32">
            <v>0.49345966634071514</v>
          </cell>
          <cell r="BK32">
            <v>0.47630172017311606</v>
          </cell>
          <cell r="BL32">
            <v>1.9595926392639265</v>
          </cell>
          <cell r="BM32">
            <v>1.9544714120416551</v>
          </cell>
          <cell r="BN32">
            <v>11.611095091557379</v>
          </cell>
          <cell r="BO32">
            <v>12.087197986096923</v>
          </cell>
          <cell r="BP32">
            <v>10.411199396219549</v>
          </cell>
          <cell r="BQ32">
            <v>9.7835115046580849</v>
          </cell>
          <cell r="BR32">
            <v>10.45213637303212</v>
          </cell>
          <cell r="BS32">
            <v>8.7662991072408047</v>
          </cell>
          <cell r="BT32">
            <v>12.236291087332509</v>
          </cell>
          <cell r="BU32">
            <v>12.726141369142546</v>
          </cell>
          <cell r="BV32">
            <v>10.989292761485149</v>
          </cell>
          <cell r="BW32">
            <v>12.850123764570069</v>
          </cell>
          <cell r="BY32">
            <v>0.53071366130952402</v>
          </cell>
          <cell r="BZ32">
            <v>0.65031478433399603</v>
          </cell>
          <cell r="CA32">
            <v>0.73584112252187694</v>
          </cell>
          <cell r="CB32">
            <v>9.3896113678571496</v>
          </cell>
          <cell r="CC32">
            <v>10.016413641550701</v>
          </cell>
          <cell r="CD32">
            <v>10.874775236833701</v>
          </cell>
          <cell r="CE32">
            <v>10.9247520138889</v>
          </cell>
          <cell r="CF32">
            <v>11.9960533846918</v>
          </cell>
          <cell r="CG32">
            <v>13.416659566428001</v>
          </cell>
          <cell r="CI32">
            <v>-0.10072703383053372</v>
          </cell>
          <cell r="CJ32">
            <v>-0.26611471876463078</v>
          </cell>
          <cell r="CK32">
            <v>-0.3514137307835985</v>
          </cell>
          <cell r="CL32">
            <v>0.1087998201778122</v>
          </cell>
          <cell r="CM32">
            <v>3.9413882932227695E-2</v>
          </cell>
          <cell r="CN32">
            <v>-4.2628544546280289E-2</v>
          </cell>
          <cell r="CO32">
            <v>0.16489064035169831</v>
          </cell>
          <cell r="CP32">
            <v>6.0860681512339143E-2</v>
          </cell>
          <cell r="CQ32">
            <v>-5.1467222065715412E-2</v>
          </cell>
        </row>
        <row r="33">
          <cell r="B33" t="str">
            <v>CI</v>
          </cell>
          <cell r="C33" t="str">
            <v>Cigna Group</v>
          </cell>
          <cell r="D33" t="str">
            <v>Managed Health Care</v>
          </cell>
          <cell r="E33">
            <v>267.12581999999998</v>
          </cell>
          <cell r="F33">
            <v>267.52999999999997</v>
          </cell>
          <cell r="G33">
            <v>70338.987599999993</v>
          </cell>
          <cell r="H33">
            <v>70232.77</v>
          </cell>
          <cell r="I33" t="e">
            <v>#N/A</v>
          </cell>
          <cell r="J33">
            <v>34040</v>
          </cell>
          <cell r="K33" t="e">
            <v>#N/A</v>
          </cell>
          <cell r="L33" t="e">
            <v>#N/A</v>
          </cell>
          <cell r="M33">
            <v>98777.038352999996</v>
          </cell>
          <cell r="O33">
            <v>262.92</v>
          </cell>
          <cell r="P33">
            <v>244.41</v>
          </cell>
          <cell r="Q33">
            <v>340.04</v>
          </cell>
          <cell r="R33">
            <v>0.77320315257028582</v>
          </cell>
          <cell r="S33">
            <v>258.16000000000003</v>
          </cell>
          <cell r="T33">
            <v>305.87</v>
          </cell>
          <cell r="U33">
            <v>317.39999999999998</v>
          </cell>
          <cell r="V33">
            <v>1.8438177874186445E-2</v>
          </cell>
          <cell r="W33">
            <v>-0.14041913231111247</v>
          </cell>
          <cell r="X33">
            <v>-0.17164461247637042</v>
          </cell>
          <cell r="Z33">
            <v>244384</v>
          </cell>
          <cell r="AA33">
            <v>272147.09999999998</v>
          </cell>
          <cell r="AB33">
            <v>285766.8</v>
          </cell>
          <cell r="AC33">
            <v>284983.21999999997</v>
          </cell>
          <cell r="AD33">
            <v>14443</v>
          </cell>
          <cell r="AE33">
            <v>14661</v>
          </cell>
          <cell r="AF33">
            <v>9697.866</v>
          </cell>
          <cell r="AG33">
            <v>9918.5969999999998</v>
          </cell>
          <cell r="AH33">
            <v>13011.37</v>
          </cell>
          <cell r="AI33">
            <v>12634.776</v>
          </cell>
          <cell r="AJ33">
            <v>12766.132</v>
          </cell>
          <cell r="AK33">
            <v>12758.574000000001</v>
          </cell>
          <cell r="AL33">
            <v>1229.3334</v>
          </cell>
          <cell r="AM33">
            <v>1386.1666</v>
          </cell>
          <cell r="AN33">
            <v>11405.4426</v>
          </cell>
          <cell r="AO33">
            <v>11379.965399999999</v>
          </cell>
          <cell r="AP33">
            <v>7939.6390000000001</v>
          </cell>
          <cell r="AQ33">
            <v>7906.6090000000004</v>
          </cell>
          <cell r="AR33">
            <v>7908.5092999999997</v>
          </cell>
          <cell r="AS33">
            <v>0.11360440945397388</v>
          </cell>
          <cell r="AT33">
            <v>5.0045361497513818E-2</v>
          </cell>
          <cell r="AU33">
            <v>5.3070563676776275E-2</v>
          </cell>
          <cell r="AV33">
            <v>5.1304070311876677E-2</v>
          </cell>
          <cell r="AW33">
            <v>3.5634647585809295E-2</v>
          </cell>
          <cell r="AX33">
            <v>3.4708710039094814E-2</v>
          </cell>
          <cell r="AY33">
            <v>5.324149698834621E-2</v>
          </cell>
          <cell r="AZ33">
            <v>4.6426274613986337E-2</v>
          </cell>
          <cell r="BA33">
            <v>4.4673251056455823E-2</v>
          </cell>
          <cell r="BB33">
            <v>4.1909109448529859E-2</v>
          </cell>
          <cell r="BC33">
            <v>3.9822559513561409E-2</v>
          </cell>
          <cell r="BD33">
            <v>2.9174071669328831E-2</v>
          </cell>
          <cell r="BE33">
            <v>2.7668046113124411E-2</v>
          </cell>
          <cell r="BF33">
            <v>0.1623948848949002</v>
          </cell>
          <cell r="BG33">
            <v>0.16203213115473017</v>
          </cell>
          <cell r="BI33">
            <v>0.34660650670239462</v>
          </cell>
          <cell r="BJ33">
            <v>0.36295458725446644</v>
          </cell>
          <cell r="BK33">
            <v>0.34565610264383406</v>
          </cell>
          <cell r="BL33">
            <v>6.8390942569410784</v>
          </cell>
          <cell r="BM33">
            <v>6.7374011563331289</v>
          </cell>
          <cell r="BN33">
            <v>10.185440627144157</v>
          </cell>
          <cell r="BO33">
            <v>9.9587712206676002</v>
          </cell>
          <cell r="BP33">
            <v>7.7420124187076071</v>
          </cell>
          <cell r="BQ33">
            <v>7.8178701666733144</v>
          </cell>
          <cell r="BR33">
            <v>7.7374288745408553</v>
          </cell>
          <cell r="BS33">
            <v>8.66051777359346</v>
          </cell>
          <cell r="BT33">
            <v>8.6799067379414012</v>
          </cell>
          <cell r="BU33">
            <v>8.880658457340374</v>
          </cell>
          <cell r="BV33">
            <v>8.8458392125888849</v>
          </cell>
          <cell r="BW33">
            <v>8.8827928635398568</v>
          </cell>
          <cell r="BY33">
            <v>0.40716238194444399</v>
          </cell>
          <cell r="BZ33">
            <v>0.456676332544732</v>
          </cell>
          <cell r="CA33">
            <v>0.53869032599045197</v>
          </cell>
          <cell r="CB33">
            <v>8.2386664702380994</v>
          </cell>
          <cell r="CC33">
            <v>8.6623785922465206</v>
          </cell>
          <cell r="CD33">
            <v>9.1276527053301706</v>
          </cell>
          <cell r="CE33">
            <v>9.6286372123015909</v>
          </cell>
          <cell r="CF33">
            <v>10.416180650099401</v>
          </cell>
          <cell r="CG33">
            <v>10.662184891408099</v>
          </cell>
          <cell r="CI33">
            <v>-0.14872659638363162</v>
          </cell>
          <cell r="CJ33">
            <v>-0.24102371416752999</v>
          </cell>
          <cell r="CK33">
            <v>-0.35657558716111404</v>
          </cell>
          <cell r="CL33">
            <v>-6.0283305960332045E-2</v>
          </cell>
          <cell r="CM33">
            <v>-0.10624866643010855</v>
          </cell>
          <cell r="CN33">
            <v>-0.15180685893246215</v>
          </cell>
          <cell r="CO33">
            <v>-7.7682722743525501E-2</v>
          </cell>
          <cell r="CP33">
            <v>-0.14741700862728158</v>
          </cell>
          <cell r="CQ33">
            <v>-0.16708830809183695</v>
          </cell>
        </row>
        <row r="34">
          <cell r="B34" t="str">
            <v>CNC</v>
          </cell>
          <cell r="C34" t="str">
            <v>Centene Corporation</v>
          </cell>
          <cell r="D34" t="str">
            <v>Managed Health Care</v>
          </cell>
          <cell r="E34">
            <v>491.51799999999997</v>
          </cell>
          <cell r="F34">
            <v>491.14100000000002</v>
          </cell>
          <cell r="G34">
            <v>18548.185435500003</v>
          </cell>
          <cell r="H34">
            <v>18562.421999999999</v>
          </cell>
          <cell r="I34" t="e">
            <v>#N/A</v>
          </cell>
          <cell r="J34">
            <v>17583</v>
          </cell>
          <cell r="K34" t="e">
            <v>#N/A</v>
          </cell>
          <cell r="L34" t="e">
            <v>#N/A</v>
          </cell>
          <cell r="M34">
            <v>19197.129799999999</v>
          </cell>
          <cell r="O34">
            <v>37.765500000000003</v>
          </cell>
          <cell r="P34">
            <v>25.21</v>
          </cell>
          <cell r="Q34">
            <v>65.89</v>
          </cell>
          <cell r="R34">
            <v>0.57315981180755804</v>
          </cell>
          <cell r="S34">
            <v>34.25</v>
          </cell>
          <cell r="T34">
            <v>34.08</v>
          </cell>
          <cell r="U34">
            <v>55.22</v>
          </cell>
          <cell r="V34">
            <v>0.10264233576642345</v>
          </cell>
          <cell r="W34">
            <v>0.10814260563380307</v>
          </cell>
          <cell r="X34">
            <v>-0.31609018471568262</v>
          </cell>
          <cell r="Z34">
            <v>163071</v>
          </cell>
          <cell r="AA34">
            <v>193573.13</v>
          </cell>
          <cell r="AB34">
            <v>193821.27</v>
          </cell>
          <cell r="AC34">
            <v>193806.98</v>
          </cell>
          <cell r="AD34" t="e">
            <v>#N/A</v>
          </cell>
          <cell r="AE34" t="e">
            <v>#N/A</v>
          </cell>
          <cell r="AF34">
            <v>830.12919999999997</v>
          </cell>
          <cell r="AG34">
            <v>1030.098</v>
          </cell>
          <cell r="AH34">
            <v>4275.8975</v>
          </cell>
          <cell r="AI34">
            <v>1119.5809999999999</v>
          </cell>
          <cell r="AJ34">
            <v>2040.84</v>
          </cell>
          <cell r="AK34">
            <v>1987.8359</v>
          </cell>
          <cell r="AL34">
            <v>763.14215000000002</v>
          </cell>
          <cell r="AM34">
            <v>877.60440000000006</v>
          </cell>
          <cell r="AN34">
            <v>356.43884999999989</v>
          </cell>
          <cell r="AO34">
            <v>1163.2356</v>
          </cell>
          <cell r="AP34">
            <v>1000.7492999999999</v>
          </cell>
          <cell r="AQ34">
            <v>1364.6560999999999</v>
          </cell>
          <cell r="AR34">
            <v>1343.7190000000001</v>
          </cell>
          <cell r="AS34">
            <v>0.18704815693777554</v>
          </cell>
          <cell r="AT34">
            <v>1.2818927916284917E-3</v>
          </cell>
          <cell r="AU34" t="str">
            <v>--</v>
          </cell>
          <cell r="AV34" t="str">
            <v>--</v>
          </cell>
          <cell r="AW34">
            <v>4.2884526380288415E-3</v>
          </cell>
          <cell r="AX34">
            <v>5.3146798594395752E-3</v>
          </cell>
          <cell r="AY34">
            <v>2.6221078548607661E-2</v>
          </cell>
          <cell r="AZ34">
            <v>5.7837624467817405E-3</v>
          </cell>
          <cell r="BA34">
            <v>1.0529494518326086E-2</v>
          </cell>
          <cell r="BB34">
            <v>1.8413653279254196E-3</v>
          </cell>
          <cell r="BC34">
            <v>6.0015889896913796E-3</v>
          </cell>
          <cell r="BD34">
            <v>5.1698771415226892E-3</v>
          </cell>
          <cell r="BE34">
            <v>7.040796399693388E-3</v>
          </cell>
          <cell r="BF34">
            <v>1.9202173617214387E-2</v>
          </cell>
          <cell r="BG34">
            <v>6.2666154233536983E-2</v>
          </cell>
          <cell r="BI34">
            <v>9.9052829779402149E-2</v>
          </cell>
          <cell r="BJ34">
            <v>9.9172492587168468E-2</v>
          </cell>
          <cell r="BK34">
            <v>9.9045526840268877E-2</v>
          </cell>
          <cell r="BL34" t="str">
            <v>--</v>
          </cell>
          <cell r="BM34" t="str">
            <v>--</v>
          </cell>
          <cell r="BN34">
            <v>23.125472275881876</v>
          </cell>
          <cell r="BO34">
            <v>18.636216942465669</v>
          </cell>
          <cell r="BP34">
            <v>9.6573010880827734</v>
          </cell>
          <cell r="BQ34">
            <v>17.146709170662955</v>
          </cell>
          <cell r="BR34">
            <v>9.406484486779954</v>
          </cell>
          <cell r="BS34">
            <v>53.858129662353036</v>
          </cell>
          <cell r="BT34">
            <v>16.503217233035166</v>
          </cell>
          <cell r="BU34">
            <v>13.814214132567894</v>
          </cell>
          <cell r="BV34">
            <v>18.54852359127306</v>
          </cell>
          <cell r="BW34">
            <v>13.602270931115905</v>
          </cell>
          <cell r="BY34">
            <v>0.15373198442063499</v>
          </cell>
          <cell r="BZ34">
            <v>0.20789354819880701</v>
          </cell>
          <cell r="CA34">
            <v>0.30594427004295899</v>
          </cell>
          <cell r="CB34">
            <v>8.2324661638888799</v>
          </cell>
          <cell r="CC34">
            <v>8.3468818703777306</v>
          </cell>
          <cell r="CD34">
            <v>8.8814583687350694</v>
          </cell>
          <cell r="CE34">
            <v>9.3712613690476108</v>
          </cell>
          <cell r="CF34">
            <v>9.8174771411530806</v>
          </cell>
          <cell r="CG34">
            <v>11.3820684081146</v>
          </cell>
          <cell r="CI34">
            <v>-0.35567845459941527</v>
          </cell>
          <cell r="CJ34">
            <v>-0.52354062625994202</v>
          </cell>
          <cell r="CK34">
            <v>-0.67623897723106996</v>
          </cell>
          <cell r="CL34">
            <v>0.17307510238473012</v>
          </cell>
          <cell r="CM34">
            <v>0.15699505971871885</v>
          </cell>
          <cell r="CN34">
            <v>8.7355329174188645E-2</v>
          </cell>
          <cell r="CO34">
            <v>0.47410402810820496</v>
          </cell>
          <cell r="CP34">
            <v>0.40710428289781486</v>
          </cell>
          <cell r="CQ34">
            <v>0.2136822269245322</v>
          </cell>
        </row>
        <row r="35">
          <cell r="B35" t="str">
            <v>HUM</v>
          </cell>
          <cell r="C35" t="str">
            <v>Humana Inc.</v>
          </cell>
          <cell r="D35" t="str">
            <v>Managed Health Care</v>
          </cell>
          <cell r="E35">
            <v>120.27307</v>
          </cell>
          <cell r="F35">
            <v>120.745</v>
          </cell>
          <cell r="G35">
            <v>30505.016800000001</v>
          </cell>
          <cell r="H35">
            <v>30385.771000000001</v>
          </cell>
          <cell r="I35" t="e">
            <v>#N/A</v>
          </cell>
          <cell r="J35">
            <v>12607</v>
          </cell>
          <cell r="K35" t="e">
            <v>#N/A</v>
          </cell>
          <cell r="L35" t="e">
            <v>#N/A</v>
          </cell>
          <cell r="M35">
            <v>37787.035425000002</v>
          </cell>
          <cell r="O35">
            <v>252.64</v>
          </cell>
          <cell r="P35">
            <v>220.41</v>
          </cell>
          <cell r="Q35">
            <v>312</v>
          </cell>
          <cell r="R35">
            <v>0.80974358974358973</v>
          </cell>
          <cell r="S35">
            <v>238.42</v>
          </cell>
          <cell r="T35">
            <v>278.72000000000003</v>
          </cell>
          <cell r="U35">
            <v>235.26</v>
          </cell>
          <cell r="V35">
            <v>5.9642647428906903E-2</v>
          </cell>
          <cell r="W35">
            <v>-9.3570608495981755E-2</v>
          </cell>
          <cell r="X35">
            <v>7.3875711978236724E-2</v>
          </cell>
          <cell r="Z35">
            <v>117811</v>
          </cell>
          <cell r="AA35">
            <v>129085.55</v>
          </cell>
          <cell r="AB35">
            <v>143665.70000000001</v>
          </cell>
          <cell r="AC35">
            <v>142826.84</v>
          </cell>
          <cell r="AD35">
            <v>18958.900000000001</v>
          </cell>
          <cell r="AE35">
            <v>19015.900000000001</v>
          </cell>
          <cell r="AF35">
            <v>3340.9920000000002</v>
          </cell>
          <cell r="AG35">
            <v>2708.0770000000002</v>
          </cell>
          <cell r="AH35">
            <v>3733.1370000000002</v>
          </cell>
          <cell r="AI35">
            <v>4041.3809000000001</v>
          </cell>
          <cell r="AJ35">
            <v>3411.4702000000002</v>
          </cell>
          <cell r="AK35">
            <v>3447.7116999999998</v>
          </cell>
          <cell r="AL35">
            <v>553.48860000000002</v>
          </cell>
          <cell r="AM35">
            <v>545.40374999999995</v>
          </cell>
          <cell r="AN35">
            <v>3487.8923</v>
          </cell>
          <cell r="AO35">
            <v>2866.0664500000003</v>
          </cell>
          <cell r="AP35">
            <v>1991.8417999999999</v>
          </cell>
          <cell r="AQ35">
            <v>1466.9063000000001</v>
          </cell>
          <cell r="AR35">
            <v>1497.1079</v>
          </cell>
          <cell r="AS35">
            <v>9.5700316608805736E-2</v>
          </cell>
          <cell r="AT35">
            <v>0.11294951293928723</v>
          </cell>
          <cell r="AU35">
            <v>0.14687081551730616</v>
          </cell>
          <cell r="AV35">
            <v>0.13236214350398182</v>
          </cell>
          <cell r="AW35">
            <v>2.5881998411131223E-2</v>
          </cell>
          <cell r="AX35">
            <v>1.8849850729854099E-2</v>
          </cell>
          <cell r="AY35">
            <v>3.1687507957661003E-2</v>
          </cell>
          <cell r="AZ35">
            <v>3.1307771474034081E-2</v>
          </cell>
          <cell r="BA35">
            <v>2.3745892025723605E-2</v>
          </cell>
          <cell r="BB35">
            <v>2.7020005724885551E-2</v>
          </cell>
          <cell r="BC35">
            <v>1.9949552676804556E-2</v>
          </cell>
          <cell r="BD35">
            <v>1.5430401001506364E-2</v>
          </cell>
          <cell r="BE35">
            <v>1.021055338887431E-2</v>
          </cell>
          <cell r="BF35">
            <v>0.11478702646709212</v>
          </cell>
          <cell r="BG35">
            <v>9.4322650229938229E-2</v>
          </cell>
          <cell r="BI35">
            <v>0.26456536758077126</v>
          </cell>
          <cell r="BJ35">
            <v>0.29272862396294552</v>
          </cell>
          <cell r="BK35">
            <v>0.26302057780667198</v>
          </cell>
          <cell r="BL35">
            <v>1.9931027340721243</v>
          </cell>
          <cell r="BM35">
            <v>1.9871284254229356</v>
          </cell>
          <cell r="BN35">
            <v>11.310124485482156</v>
          </cell>
          <cell r="BO35">
            <v>13.953456797941859</v>
          </cell>
          <cell r="BP35">
            <v>10.960033411436346</v>
          </cell>
          <cell r="BQ35">
            <v>9.3500306850561898</v>
          </cell>
          <cell r="BR35">
            <v>11.076466511417863</v>
          </cell>
          <cell r="BS35">
            <v>10.833773572939739</v>
          </cell>
          <cell r="BT35">
            <v>13.184284483355226</v>
          </cell>
          <cell r="BU35">
            <v>20.296313311819411</v>
          </cell>
          <cell r="BV35">
            <v>15.255112629928743</v>
          </cell>
          <cell r="BW35">
            <v>20.714186720719653</v>
          </cell>
          <cell r="BY35">
            <v>0.31437708408730203</v>
          </cell>
          <cell r="BZ35">
            <v>0.37248908906560702</v>
          </cell>
          <cell r="CA35">
            <v>0.53707093716786103</v>
          </cell>
          <cell r="CB35">
            <v>10.2955055654762</v>
          </cell>
          <cell r="CC35">
            <v>10.818142089463199</v>
          </cell>
          <cell r="CD35">
            <v>11.5716883886237</v>
          </cell>
          <cell r="CE35">
            <v>17.1549498492063</v>
          </cell>
          <cell r="CF35">
            <v>17.370758100397602</v>
          </cell>
          <cell r="CG35">
            <v>17.553730489657902</v>
          </cell>
          <cell r="CI35">
            <v>-0.15844576156415435</v>
          </cell>
          <cell r="CJ35">
            <v>-0.28973659807207663</v>
          </cell>
          <cell r="CK35">
            <v>-0.5073921352439863</v>
          </cell>
          <cell r="CL35">
            <v>6.4545431181980861E-2</v>
          </cell>
          <cell r="CM35">
            <v>1.3116052719565063E-2</v>
          </cell>
          <cell r="CN35">
            <v>-5.2857885266654914E-2</v>
          </cell>
          <cell r="CO35">
            <v>0.18311702979175126</v>
          </cell>
          <cell r="CP35">
            <v>0.16841839570345796</v>
          </cell>
          <cell r="CQ35">
            <v>0.15623931470164432</v>
          </cell>
        </row>
        <row r="36">
          <cell r="B36" t="str">
            <v>MOH</v>
          </cell>
          <cell r="C36" t="str">
            <v>Molina Healthcare, Inc.</v>
          </cell>
          <cell r="D36" t="str">
            <v>Managed Health Care</v>
          </cell>
          <cell r="E36">
            <v>51.4</v>
          </cell>
          <cell r="F36">
            <v>52.5</v>
          </cell>
          <cell r="G36">
            <v>8277.6749999999993</v>
          </cell>
          <cell r="H36">
            <v>8104.2383</v>
          </cell>
          <cell r="I36" t="e">
            <v>#N/A</v>
          </cell>
          <cell r="J36">
            <v>3852</v>
          </cell>
          <cell r="K36" t="e">
            <v>#N/A</v>
          </cell>
          <cell r="L36" t="e">
            <v>#N/A</v>
          </cell>
          <cell r="M36">
            <v>7926</v>
          </cell>
          <cell r="O36">
            <v>157.66999999999999</v>
          </cell>
          <cell r="P36">
            <v>134.51</v>
          </cell>
          <cell r="Q36">
            <v>353.24</v>
          </cell>
          <cell r="R36">
            <v>0.44635375382176418</v>
          </cell>
          <cell r="S36">
            <v>140.9</v>
          </cell>
          <cell r="T36">
            <v>188.44</v>
          </cell>
          <cell r="U36">
            <v>298.14</v>
          </cell>
          <cell r="V36">
            <v>0.11902058197303034</v>
          </cell>
          <cell r="W36">
            <v>-0.16328804924644458</v>
          </cell>
          <cell r="X36">
            <v>-0.47115449117864094</v>
          </cell>
          <cell r="Z36">
            <v>40650</v>
          </cell>
          <cell r="AA36">
            <v>44880.61</v>
          </cell>
          <cell r="AB36">
            <v>46850.82</v>
          </cell>
          <cell r="AC36">
            <v>46737.464999999997</v>
          </cell>
          <cell r="AD36" t="e">
            <v>#N/A</v>
          </cell>
          <cell r="AE36" t="e">
            <v>#N/A</v>
          </cell>
          <cell r="AF36">
            <v>1094.9315999999999</v>
          </cell>
          <cell r="AG36">
            <v>1069.9413</v>
          </cell>
          <cell r="AH36">
            <v>2000.1876999999999</v>
          </cell>
          <cell r="AI36">
            <v>1253.8103000000001</v>
          </cell>
          <cell r="AJ36">
            <v>1222.9373000000001</v>
          </cell>
          <cell r="AK36">
            <v>1224.7135000000001</v>
          </cell>
          <cell r="AL36">
            <v>131.64859000000001</v>
          </cell>
          <cell r="AM36">
            <v>143.44470000000001</v>
          </cell>
          <cell r="AN36">
            <v>1122.1617100000001</v>
          </cell>
          <cell r="AO36">
            <v>1079.4926</v>
          </cell>
          <cell r="AP36">
            <v>772.42534999999998</v>
          </cell>
          <cell r="AQ36">
            <v>694.33954000000006</v>
          </cell>
          <cell r="AR36">
            <v>698.83214999999996</v>
          </cell>
          <cell r="AS36">
            <v>0.1040740467404675</v>
          </cell>
          <cell r="AT36">
            <v>4.3898913138658235E-2</v>
          </cell>
          <cell r="AU36" t="str">
            <v>--</v>
          </cell>
          <cell r="AV36" t="str">
            <v>--</v>
          </cell>
          <cell r="AW36">
            <v>2.4396540064852056E-2</v>
          </cell>
          <cell r="AX36">
            <v>2.2837194738533923E-2</v>
          </cell>
          <cell r="AY36">
            <v>4.9205109471094709E-2</v>
          </cell>
          <cell r="AZ36">
            <v>2.7936569935212558E-2</v>
          </cell>
          <cell r="BA36">
            <v>2.6102793931888493E-2</v>
          </cell>
          <cell r="BB36">
            <v>2.5003263324629502E-2</v>
          </cell>
          <cell r="BC36">
            <v>2.3041060967556173E-2</v>
          </cell>
          <cell r="BD36">
            <v>1.7210669596513951E-2</v>
          </cell>
          <cell r="BE36">
            <v>1.4820221716503577E-2</v>
          </cell>
          <cell r="BF36">
            <v>0.13846603079280134</v>
          </cell>
          <cell r="BG36">
            <v>0.13320099434884583</v>
          </cell>
          <cell r="BI36">
            <v>0.16958557765167626</v>
          </cell>
          <cell r="BJ36">
            <v>0.17660187773740152</v>
          </cell>
          <cell r="BK36">
            <v>0.16917526736992011</v>
          </cell>
          <cell r="BL36" t="str">
            <v>--</v>
          </cell>
          <cell r="BM36" t="str">
            <v>--</v>
          </cell>
          <cell r="BN36">
            <v>7.2388083420005422</v>
          </cell>
          <cell r="BO36">
            <v>7.4078830305924264</v>
          </cell>
          <cell r="BP36">
            <v>6.4717176711124678</v>
          </cell>
          <cell r="BQ36">
            <v>6.3215304579967153</v>
          </cell>
          <cell r="BR36">
            <v>6.4811172248977931</v>
          </cell>
          <cell r="BS36">
            <v>7.0631531350325609</v>
          </cell>
          <cell r="BT36">
            <v>7.3423384282578681</v>
          </cell>
          <cell r="BU36">
            <v>11.59683094144996</v>
          </cell>
          <cell r="BV36">
            <v>10.491937246751418</v>
          </cell>
          <cell r="BW36">
            <v>11.671866332140612</v>
          </cell>
          <cell r="BY36">
            <v>0.27946430424603202</v>
          </cell>
          <cell r="BZ36">
            <v>0.35943358707753498</v>
          </cell>
          <cell r="CA36">
            <v>0.43779729849642002</v>
          </cell>
          <cell r="CB36">
            <v>6.5441708051587302</v>
          </cell>
          <cell r="CC36">
            <v>7.4194866023856898</v>
          </cell>
          <cell r="CD36">
            <v>8.6257819961018303</v>
          </cell>
          <cell r="CE36">
            <v>10.8040192035714</v>
          </cell>
          <cell r="CF36">
            <v>12.3610068534791</v>
          </cell>
          <cell r="CG36">
            <v>14.691104069053299</v>
          </cell>
          <cell r="CI36">
            <v>-0.39317624800347251</v>
          </cell>
          <cell r="CJ36">
            <v>-0.52818661430464986</v>
          </cell>
          <cell r="CK36">
            <v>-0.61263904954620685</v>
          </cell>
          <cell r="CL36">
            <v>-1.1071400213018334E-2</v>
          </cell>
          <cell r="CM36">
            <v>-0.12774050039641194</v>
          </cell>
          <cell r="CN36">
            <v>-0.249723946879579</v>
          </cell>
          <cell r="CO36">
            <v>7.3381185551436801E-2</v>
          </cell>
          <cell r="CP36">
            <v>-6.1821494081127915E-2</v>
          </cell>
          <cell r="CQ36">
            <v>-0.21062223186624907</v>
          </cell>
        </row>
        <row r="37">
          <cell r="B37" t="str">
            <v>CVS</v>
          </cell>
          <cell r="C37" t="str">
            <v>CVS Health Corporation</v>
          </cell>
          <cell r="D37" t="str">
            <v>Drugstore Chains</v>
          </cell>
          <cell r="E37">
            <v>1269.4324999999999</v>
          </cell>
          <cell r="F37">
            <v>1269</v>
          </cell>
          <cell r="G37">
            <v>100219.27499999999</v>
          </cell>
          <cell r="H37">
            <v>100253.234</v>
          </cell>
          <cell r="I37">
            <v>11289</v>
          </cell>
          <cell r="J37">
            <v>81752</v>
          </cell>
          <cell r="K37">
            <v>70463</v>
          </cell>
          <cell r="L37">
            <v>170682.27499999999</v>
          </cell>
          <cell r="M37">
            <v>170159.98</v>
          </cell>
          <cell r="O37">
            <v>78.974999999999994</v>
          </cell>
          <cell r="P37">
            <v>43.78</v>
          </cell>
          <cell r="Q37">
            <v>83.04</v>
          </cell>
          <cell r="R37">
            <v>0.95104768786127158</v>
          </cell>
          <cell r="S37">
            <v>77.540000000000006</v>
          </cell>
          <cell r="T37">
            <v>74.67</v>
          </cell>
          <cell r="U37">
            <v>67.459999999999994</v>
          </cell>
          <cell r="V37">
            <v>1.8506577250451128E-2</v>
          </cell>
          <cell r="W37">
            <v>5.7653676175170698E-2</v>
          </cell>
          <cell r="X37">
            <v>0.17069374444115026</v>
          </cell>
          <cell r="Z37">
            <v>372692</v>
          </cell>
          <cell r="AA37">
            <v>399017.38</v>
          </cell>
          <cell r="AB37">
            <v>411664.3</v>
          </cell>
          <cell r="AC37">
            <v>410936.7</v>
          </cell>
          <cell r="AD37">
            <v>55149.58</v>
          </cell>
          <cell r="AE37">
            <v>57226.3</v>
          </cell>
          <cell r="AF37">
            <v>14254.508</v>
          </cell>
          <cell r="AG37">
            <v>15296.366</v>
          </cell>
          <cell r="AH37">
            <v>14518</v>
          </cell>
          <cell r="AI37">
            <v>16773.451000000001</v>
          </cell>
          <cell r="AJ37">
            <v>17804.099999999999</v>
          </cell>
          <cell r="AK37">
            <v>17744.8</v>
          </cell>
          <cell r="AL37">
            <v>2972.4373000000001</v>
          </cell>
          <cell r="AM37">
            <v>3052.5365999999999</v>
          </cell>
          <cell r="AN37">
            <v>13801.013700000001</v>
          </cell>
          <cell r="AO37">
            <v>14751.563399999999</v>
          </cell>
          <cell r="AP37">
            <v>-354.00555000000003</v>
          </cell>
          <cell r="AQ37">
            <v>7513.0969999999998</v>
          </cell>
          <cell r="AR37">
            <v>7060.4690000000001</v>
          </cell>
          <cell r="AS37">
            <v>7.063575284685486E-2</v>
          </cell>
          <cell r="AT37">
            <v>3.1695160747133411E-2</v>
          </cell>
          <cell r="AU37">
            <v>0.13821347832016742</v>
          </cell>
          <cell r="AV37">
            <v>0.13901205423934018</v>
          </cell>
          <cell r="AW37">
            <v>3.5724027860641057E-2</v>
          </cell>
          <cell r="AX37">
            <v>3.7157377989784399E-2</v>
          </cell>
          <cell r="AY37">
            <v>3.89544181254226E-2</v>
          </cell>
          <cell r="AZ37">
            <v>4.2036893230064314E-2</v>
          </cell>
          <cell r="BA37">
            <v>4.3249074549335464E-2</v>
          </cell>
          <cell r="BB37">
            <v>3.458750017355134E-2</v>
          </cell>
          <cell r="BC37">
            <v>3.5833963255983092E-2</v>
          </cell>
          <cell r="BD37">
            <v>-8.8719330972500507E-4</v>
          </cell>
          <cell r="BE37">
            <v>1.8250542978830081E-2</v>
          </cell>
          <cell r="BF37">
            <v>0.13766153119808586</v>
          </cell>
          <cell r="BG37">
            <v>0.14714301785017728</v>
          </cell>
          <cell r="BI37">
            <v>0.41407832398517824</v>
          </cell>
          <cell r="BJ37">
            <v>0.42644753970365906</v>
          </cell>
          <cell r="BK37">
            <v>0.41334645729542252</v>
          </cell>
          <cell r="BL37">
            <v>3.0854265798579066</v>
          </cell>
          <cell r="BM37">
            <v>2.973457658454242</v>
          </cell>
          <cell r="BN37">
            <v>11.937274860696702</v>
          </cell>
          <cell r="BO37">
            <v>11.124209501786241</v>
          </cell>
          <cell r="BP37">
            <v>9.5892870023894332</v>
          </cell>
          <cell r="BQ37">
            <v>10.144601728052265</v>
          </cell>
          <cell r="BR37">
            <v>9.5573480265781487</v>
          </cell>
          <cell r="BS37">
            <v>12.329527649117543</v>
          </cell>
          <cell r="BT37">
            <v>11.535047193709653</v>
          </cell>
          <cell r="BU37">
            <v>14.199231524138126</v>
          </cell>
          <cell r="BV37" t="str">
            <v>--</v>
          </cell>
          <cell r="BW37">
            <v>13.343796040434457</v>
          </cell>
          <cell r="BY37">
            <v>0.38701455178571398</v>
          </cell>
          <cell r="BZ37">
            <v>0.39568364974155101</v>
          </cell>
          <cell r="CA37">
            <v>0.49821932727923601</v>
          </cell>
          <cell r="CB37">
            <v>9.22483740277778</v>
          </cell>
          <cell r="CC37">
            <v>8.7217747936381809</v>
          </cell>
          <cell r="CD37">
            <v>8.8634765051710502</v>
          </cell>
          <cell r="CE37">
            <v>10.1551865281746</v>
          </cell>
          <cell r="CF37">
            <v>9.3186563829025797</v>
          </cell>
          <cell r="CG37">
            <v>9.8219012369132805</v>
          </cell>
          <cell r="CI37">
            <v>6.9929598446854202E-2</v>
          </cell>
          <cell r="CJ37">
            <v>4.6488335455968643E-2</v>
          </cell>
          <cell r="CK37">
            <v>-0.16888345892470658</v>
          </cell>
          <cell r="CL37">
            <v>3.950742801189211E-2</v>
          </cell>
          <cell r="CM37">
            <v>9.9465100771007231E-2</v>
          </cell>
          <cell r="CN37">
            <v>8.188778937868646E-2</v>
          </cell>
          <cell r="CO37">
            <v>0.3982245904340318</v>
          </cell>
          <cell r="CP37">
            <v>0.52374236592629275</v>
          </cell>
          <cell r="CQ37">
            <v>0.44567036275763905</v>
          </cell>
        </row>
        <row r="38">
          <cell r="B38" t="str">
            <v>ALKS</v>
          </cell>
          <cell r="C38" t="str">
            <v>Alkermes Public Limited Company</v>
          </cell>
          <cell r="D38" t="str">
            <v>Pharmaceuticals: Major</v>
          </cell>
          <cell r="E38">
            <v>165.11751000000001</v>
          </cell>
          <cell r="F38">
            <v>168.51</v>
          </cell>
          <cell r="G38">
            <v>4755.3521999999994</v>
          </cell>
          <cell r="H38">
            <v>4659.63</v>
          </cell>
          <cell r="I38">
            <v>1111.114</v>
          </cell>
          <cell r="J38">
            <v>71.597999999999999</v>
          </cell>
          <cell r="K38">
            <v>-1039.5160000000001</v>
          </cell>
          <cell r="L38">
            <v>3715.8361999999993</v>
          </cell>
          <cell r="M38">
            <v>3733.5297500000001</v>
          </cell>
          <cell r="O38">
            <v>28.22</v>
          </cell>
          <cell r="P38">
            <v>26.13</v>
          </cell>
          <cell r="Q38">
            <v>36</v>
          </cell>
          <cell r="R38">
            <v>0.78388888888888886</v>
          </cell>
          <cell r="S38">
            <v>32.65</v>
          </cell>
          <cell r="T38">
            <v>27.71</v>
          </cell>
          <cell r="U38">
            <v>29.83</v>
          </cell>
          <cell r="V38">
            <v>-0.13568147013782539</v>
          </cell>
          <cell r="W38">
            <v>1.8404907975460016E-2</v>
          </cell>
          <cell r="X38">
            <v>-5.3972510895072046E-2</v>
          </cell>
          <cell r="Z38">
            <v>1557.6320000000001</v>
          </cell>
          <cell r="AA38">
            <v>1464.3616999999999</v>
          </cell>
          <cell r="AB38">
            <v>1700.8268</v>
          </cell>
          <cell r="AC38">
            <v>1687.2219</v>
          </cell>
          <cell r="AD38">
            <v>1271.5646999999999</v>
          </cell>
          <cell r="AE38">
            <v>1438.6615999999999</v>
          </cell>
          <cell r="AF38">
            <v>265.53237999999999</v>
          </cell>
          <cell r="AG38">
            <v>303.99142000000001</v>
          </cell>
          <cell r="AH38">
            <v>449.16899999999998</v>
          </cell>
          <cell r="AI38">
            <v>379.12866000000002</v>
          </cell>
          <cell r="AJ38">
            <v>378.66770000000002</v>
          </cell>
          <cell r="AK38">
            <v>378.69420000000002</v>
          </cell>
          <cell r="AL38">
            <v>40.624096000000002</v>
          </cell>
          <cell r="AM38">
            <v>36.351596999999998</v>
          </cell>
          <cell r="AN38">
            <v>338.50456400000002</v>
          </cell>
          <cell r="AO38">
            <v>342.316103</v>
          </cell>
          <cell r="AP38">
            <v>254.28533999999999</v>
          </cell>
          <cell r="AQ38">
            <v>263.83596999999997</v>
          </cell>
          <cell r="AR38">
            <v>263.28647000000001</v>
          </cell>
          <cell r="AS38">
            <v>-5.987954792916439E-2</v>
          </cell>
          <cell r="AT38">
            <v>0.16147998134613872</v>
          </cell>
          <cell r="AU38">
            <v>0.8683405882576688</v>
          </cell>
          <cell r="AV38">
            <v>0.84586014284346878</v>
          </cell>
          <cell r="AW38">
            <v>0.18132977665285838</v>
          </cell>
          <cell r="AX38">
            <v>0.17873155573512836</v>
          </cell>
          <cell r="AY38">
            <v>0.28836657182184239</v>
          </cell>
          <cell r="AZ38">
            <v>0.2589036984510043</v>
          </cell>
          <cell r="BA38">
            <v>0.22263742551563745</v>
          </cell>
          <cell r="BB38">
            <v>0.23116185297662459</v>
          </cell>
          <cell r="BC38">
            <v>0.20126452793429642</v>
          </cell>
          <cell r="BD38">
            <v>0.173649269849109</v>
          </cell>
          <cell r="BE38">
            <v>0.1551221852807117</v>
          </cell>
          <cell r="BF38">
            <v>7.2646232426179763E-2</v>
          </cell>
          <cell r="BG38">
            <v>7.3464224198058647E-2</v>
          </cell>
          <cell r="BI38">
            <v>2.2128267479221315</v>
          </cell>
          <cell r="BJ38">
            <v>2.5495953288043522</v>
          </cell>
          <cell r="BK38">
            <v>2.1951263644246435</v>
          </cell>
          <cell r="BL38">
            <v>2.9361697049312556</v>
          </cell>
          <cell r="BM38">
            <v>2.5951410324707354</v>
          </cell>
          <cell r="BN38">
            <v>14.060544141546881</v>
          </cell>
          <cell r="BO38">
            <v>12.281694496509145</v>
          </cell>
          <cell r="BP38">
            <v>9.8589567783187597</v>
          </cell>
          <cell r="BQ38">
            <v>9.8476589714953224</v>
          </cell>
          <cell r="BR38">
            <v>9.8596467298372694</v>
          </cell>
          <cell r="BS38">
            <v>11.029481274586301</v>
          </cell>
          <cell r="BT38">
            <v>10.906672859617125</v>
          </cell>
          <cell r="BU38">
            <v>17.697947030851985</v>
          </cell>
          <cell r="BV38">
            <v>18.324414612340611</v>
          </cell>
          <cell r="BW38">
            <v>17.661086924576662</v>
          </cell>
          <cell r="BY38">
            <v>2.9437210071428601</v>
          </cell>
          <cell r="BZ38">
            <v>2.8517605564612398</v>
          </cell>
          <cell r="CA38">
            <v>3.1324764359586301</v>
          </cell>
          <cell r="CB38">
            <v>13.6016130753968</v>
          </cell>
          <cell r="CC38">
            <v>11.620947699801199</v>
          </cell>
          <cell r="CD38">
            <v>85.894302542016902</v>
          </cell>
          <cell r="CE38">
            <v>17.480978753968301</v>
          </cell>
          <cell r="CF38">
            <v>14.2769771053678</v>
          </cell>
          <cell r="CG38">
            <v>74.154569663882299</v>
          </cell>
          <cell r="CI38">
            <v>-0.24828924257673646</v>
          </cell>
          <cell r="CJ38">
            <v>-0.2240488974754471</v>
          </cell>
          <cell r="CK38">
            <v>-0.29358550873027034</v>
          </cell>
          <cell r="CL38">
            <v>-0.27516267933308025</v>
          </cell>
          <cell r="CM38">
            <v>-0.15162196466236422</v>
          </cell>
          <cell r="CN38">
            <v>-0.88521989833381487</v>
          </cell>
          <cell r="CO38">
            <v>1.2411677854961667E-2</v>
          </cell>
          <cell r="CP38">
            <v>0.23961444360641182</v>
          </cell>
          <cell r="CQ38">
            <v>-0.76133706781563404</v>
          </cell>
        </row>
        <row r="39">
          <cell r="B39" t="str">
            <v>MEDP</v>
          </cell>
          <cell r="C39" t="str">
            <v>Medpace Holdings, Inc.</v>
          </cell>
          <cell r="D39" t="str">
            <v>Miscellaneous Commercial Services</v>
          </cell>
          <cell r="E39">
            <v>28.168222</v>
          </cell>
          <cell r="F39">
            <v>28.817</v>
          </cell>
          <cell r="G39">
            <v>15985.366240000001</v>
          </cell>
          <cell r="H39">
            <v>15625.463</v>
          </cell>
          <cell r="I39">
            <v>285.351</v>
          </cell>
          <cell r="J39">
            <v>143.97300000000001</v>
          </cell>
          <cell r="K39">
            <v>-141.37799999999999</v>
          </cell>
          <cell r="L39">
            <v>15843.988240000001</v>
          </cell>
          <cell r="M39">
            <v>15909.835085000001</v>
          </cell>
          <cell r="O39">
            <v>554.72</v>
          </cell>
          <cell r="P39">
            <v>277.23</v>
          </cell>
          <cell r="Q39">
            <v>618.49</v>
          </cell>
          <cell r="R39">
            <v>0.89689404840822007</v>
          </cell>
          <cell r="S39">
            <v>600.44000000000005</v>
          </cell>
          <cell r="T39">
            <v>497.59</v>
          </cell>
          <cell r="U39">
            <v>298.25</v>
          </cell>
          <cell r="V39">
            <v>-7.614416094863774E-2</v>
          </cell>
          <cell r="W39">
            <v>0.1148134005908481</v>
          </cell>
          <cell r="X39">
            <v>0.85991617770326911</v>
          </cell>
          <cell r="Z39">
            <v>2109.0540000000001</v>
          </cell>
          <cell r="AA39">
            <v>2511.2449000000001</v>
          </cell>
          <cell r="AB39">
            <v>2812.9092000000001</v>
          </cell>
          <cell r="AC39">
            <v>2795.5531999999998</v>
          </cell>
          <cell r="AD39">
            <v>759.84929999999997</v>
          </cell>
          <cell r="AE39">
            <v>826.71370000000002</v>
          </cell>
          <cell r="AF39">
            <v>528.37609999999995</v>
          </cell>
          <cell r="AG39">
            <v>574.94740000000002</v>
          </cell>
          <cell r="AH39">
            <v>476.12099999999998</v>
          </cell>
          <cell r="AI39">
            <v>552.97655999999995</v>
          </cell>
          <cell r="AJ39">
            <v>604.32830000000001</v>
          </cell>
          <cell r="AK39">
            <v>601.37383999999997</v>
          </cell>
          <cell r="AL39">
            <v>39.647399999999998</v>
          </cell>
          <cell r="AM39">
            <v>51.617379999999997</v>
          </cell>
          <cell r="AN39">
            <v>513.32916</v>
          </cell>
          <cell r="AO39">
            <v>552.71091999999999</v>
          </cell>
          <cell r="AP39">
            <v>436.56207000000001</v>
          </cell>
          <cell r="AQ39">
            <v>476.89550000000003</v>
          </cell>
          <cell r="AR39">
            <v>474.57495</v>
          </cell>
          <cell r="AS39">
            <v>0.19069729840961869</v>
          </cell>
          <cell r="AT39">
            <v>0.1201254007524315</v>
          </cell>
          <cell r="AU39">
            <v>0.30257873296228494</v>
          </cell>
          <cell r="AV39">
            <v>0.29389988841445719</v>
          </cell>
          <cell r="AW39">
            <v>0.21040405099478746</v>
          </cell>
          <cell r="AX39">
            <v>0.20439600396628516</v>
          </cell>
          <cell r="AY39">
            <v>0.22575097650415776</v>
          </cell>
          <cell r="AZ39">
            <v>0.22020017243240592</v>
          </cell>
          <cell r="BA39">
            <v>0.21484102650736114</v>
          </cell>
          <cell r="BB39">
            <v>0.20441222598401293</v>
          </cell>
          <cell r="BC39">
            <v>0.1964908501134697</v>
          </cell>
          <cell r="BD39">
            <v>0.17384288963613226</v>
          </cell>
          <cell r="BE39">
            <v>0.16953817776983346</v>
          </cell>
          <cell r="BF39">
            <v>3.2852092766787133E-2</v>
          </cell>
          <cell r="BG39">
            <v>3.5372450723540158E-2</v>
          </cell>
          <cell r="BI39">
            <v>5.6911222741173377</v>
          </cell>
          <cell r="BJ39">
            <v>6.3354374895893271</v>
          </cell>
          <cell r="BK39">
            <v>5.6560073410830327</v>
          </cell>
          <cell r="BL39">
            <v>20.938145346715462</v>
          </cell>
          <cell r="BM39">
            <v>19.244673319191396</v>
          </cell>
          <cell r="BN39">
            <v>30.11081516556105</v>
          </cell>
          <cell r="BO39">
            <v>27.671809777729234</v>
          </cell>
          <cell r="BP39">
            <v>26.455815046760268</v>
          </cell>
          <cell r="BQ39">
            <v>28.771264888696191</v>
          </cell>
          <cell r="BR39">
            <v>26.326476991065949</v>
          </cell>
          <cell r="BS39">
            <v>30.993437203138821</v>
          </cell>
          <cell r="BT39">
            <v>28.785092729848728</v>
          </cell>
          <cell r="BU39">
            <v>32.925174411333764</v>
          </cell>
          <cell r="BV39">
            <v>35.792076485252139</v>
          </cell>
          <cell r="BW39">
            <v>32.764962135310562</v>
          </cell>
          <cell r="BY39">
            <v>4.9023154361111096</v>
          </cell>
          <cell r="BZ39">
            <v>4.9547367514910503</v>
          </cell>
          <cell r="CA39">
            <v>4.6197739688941901</v>
          </cell>
          <cell r="CB39">
            <v>22.6232445833333</v>
          </cell>
          <cell r="CC39">
            <v>23.882419121272399</v>
          </cell>
          <cell r="CD39">
            <v>23.2967221352427</v>
          </cell>
          <cell r="CE39">
            <v>28.450032849206298</v>
          </cell>
          <cell r="CF39">
            <v>29.8490277852883</v>
          </cell>
          <cell r="CG39">
            <v>30.042634336515501</v>
          </cell>
          <cell r="CI39">
            <v>0.16090495364614266</v>
          </cell>
          <cell r="CJ39">
            <v>0.148622532247487</v>
          </cell>
          <cell r="CK39">
            <v>0.2319049183870765</v>
          </cell>
          <cell r="CL39">
            <v>0.16940852357890557</v>
          </cell>
          <cell r="CM39">
            <v>0.10775273277051367</v>
          </cell>
          <cell r="CN39">
            <v>0.13560246343577109</v>
          </cell>
          <cell r="CO39">
            <v>0.15729829156426844</v>
          </cell>
          <cell r="CP39">
            <v>0.10305684487189914</v>
          </cell>
          <cell r="CQ39">
            <v>9.5948312738828756E-2</v>
          </cell>
        </row>
        <row r="40">
          <cell r="B40" t="str">
            <v>ONON</v>
          </cell>
          <cell r="C40" t="str">
            <v>On Holding AG Class A</v>
          </cell>
          <cell r="D40" t="str">
            <v>Apparel/Footwear</v>
          </cell>
          <cell r="E40">
            <v>293.04773</v>
          </cell>
          <cell r="F40">
            <v>333.95027700000003</v>
          </cell>
          <cell r="G40">
            <v>16453.730147790004</v>
          </cell>
          <cell r="H40">
            <v>16088.597</v>
          </cell>
          <cell r="I40">
            <v>1208.82297492616</v>
          </cell>
          <cell r="J40">
            <v>703.95274304028203</v>
          </cell>
          <cell r="K40">
            <v>-504.87023188587796</v>
          </cell>
          <cell r="L40">
            <v>15948.859915904126</v>
          </cell>
          <cell r="M40">
            <v>15945.5204131341</v>
          </cell>
          <cell r="O40">
            <v>49.27</v>
          </cell>
          <cell r="P40">
            <v>34.96</v>
          </cell>
          <cell r="Q40">
            <v>63.62</v>
          </cell>
          <cell r="R40">
            <v>0.77444199937126701</v>
          </cell>
          <cell r="S40">
            <v>34.96</v>
          </cell>
          <cell r="T40">
            <v>43.3</v>
          </cell>
          <cell r="U40">
            <v>52.26</v>
          </cell>
          <cell r="V40">
            <v>0.40932494279176201</v>
          </cell>
          <cell r="W40">
            <v>0.13787528868360299</v>
          </cell>
          <cell r="X40">
            <v>-5.7213930348258613E-2</v>
          </cell>
          <cell r="Z40">
            <v>2632.4348543948499</v>
          </cell>
          <cell r="AA40">
            <v>3712.4578000000001</v>
          </cell>
          <cell r="AB40">
            <v>4563.2236000000003</v>
          </cell>
          <cell r="AC40">
            <v>4514.2754000000004</v>
          </cell>
          <cell r="AD40">
            <v>2319.4805000000001</v>
          </cell>
          <cell r="AE40">
            <v>2845.9054999999998</v>
          </cell>
          <cell r="AF40">
            <v>489.01366999999999</v>
          </cell>
          <cell r="AG40">
            <v>633.76935000000003</v>
          </cell>
          <cell r="AH40">
            <v>358.93225000000001</v>
          </cell>
          <cell r="AI40">
            <v>681.92070000000001</v>
          </cell>
          <cell r="AJ40">
            <v>854.89859999999999</v>
          </cell>
          <cell r="AK40">
            <v>844.94650000000001</v>
          </cell>
          <cell r="AL40">
            <v>113.523506</v>
          </cell>
          <cell r="AM40">
            <v>150.12137999999999</v>
          </cell>
          <cell r="AN40">
            <v>568.39719400000001</v>
          </cell>
          <cell r="AO40">
            <v>704.77721999999994</v>
          </cell>
          <cell r="AP40">
            <v>239.37741</v>
          </cell>
          <cell r="AQ40">
            <v>476.17016999999998</v>
          </cell>
          <cell r="AR40">
            <v>462.54647999999997</v>
          </cell>
          <cell r="AS40">
            <v>0.41027527948205522</v>
          </cell>
          <cell r="AT40">
            <v>0.22916510997108164</v>
          </cell>
          <cell r="AU40">
            <v>0.62478299416629057</v>
          </cell>
          <cell r="AV40">
            <v>0.62366119863159886</v>
          </cell>
          <cell r="AW40">
            <v>0.13172235116046302</v>
          </cell>
          <cell r="AX40">
            <v>0.13888632369450404</v>
          </cell>
          <cell r="AY40">
            <v>0.13634990791918844</v>
          </cell>
          <cell r="AZ40">
            <v>0.18368443137589335</v>
          </cell>
          <cell r="BA40">
            <v>0.1873453231614598</v>
          </cell>
          <cell r="BB40">
            <v>0.15310536162862243</v>
          </cell>
          <cell r="BC40">
            <v>0.15444722454538495</v>
          </cell>
          <cell r="BD40">
            <v>6.4479496575018308E-2</v>
          </cell>
          <cell r="BE40">
            <v>0.10434951511032682</v>
          </cell>
          <cell r="BF40">
            <v>3.5329195827330379E-2</v>
          </cell>
          <cell r="BG40">
            <v>4.3806008690502968E-2</v>
          </cell>
          <cell r="BI40">
            <v>3.5322436050609802</v>
          </cell>
          <cell r="BJ40">
            <v>4.295138496425225</v>
          </cell>
          <cell r="BK40">
            <v>3.4943543886681554</v>
          </cell>
          <cell r="BL40">
            <v>6.8746085225265308</v>
          </cell>
          <cell r="BM40">
            <v>5.6029690420620435</v>
          </cell>
          <cell r="BN40">
            <v>32.607514659322511</v>
          </cell>
          <cell r="BO40">
            <v>25.159816285110821</v>
          </cell>
          <cell r="BP40">
            <v>18.87163318995238</v>
          </cell>
          <cell r="BQ40">
            <v>23.383247367522497</v>
          </cell>
          <cell r="BR40">
            <v>18.651943532407351</v>
          </cell>
          <cell r="BS40">
            <v>28.053481933857153</v>
          </cell>
          <cell r="BT40">
            <v>22.624908922473544</v>
          </cell>
          <cell r="BU40">
            <v>34.782660112341574</v>
          </cell>
          <cell r="BV40">
            <v>67.210172421867213</v>
          </cell>
          <cell r="BW40">
            <v>33.78749450012797</v>
          </cell>
          <cell r="BY40">
            <v>4.07413010039682</v>
          </cell>
          <cell r="BZ40">
            <v>4.1513833520874703</v>
          </cell>
          <cell r="CA40">
            <v>4.7953365790521296</v>
          </cell>
          <cell r="CB40">
            <v>23.152650563492099</v>
          </cell>
          <cell r="CC40">
            <v>24.232638994035799</v>
          </cell>
          <cell r="CD40">
            <v>32.915404819905199</v>
          </cell>
          <cell r="CE40">
            <v>39.737239424603203</v>
          </cell>
          <cell r="CF40">
            <v>40.1533439840954</v>
          </cell>
          <cell r="CG40">
            <v>138.15669896887201</v>
          </cell>
          <cell r="CI40">
            <v>-0.13300667430405821</v>
          </cell>
          <cell r="CJ40">
            <v>-0.14914058628557236</v>
          </cell>
          <cell r="CK40">
            <v>-0.26340027507325015</v>
          </cell>
          <cell r="CL40">
            <v>-0.18490398590864476</v>
          </cell>
          <cell r="CM40">
            <v>-0.22123078734441115</v>
          </cell>
          <cell r="CN40">
            <v>-0.426662582665853</v>
          </cell>
          <cell r="CO40">
            <v>-0.12468353071335936</v>
          </cell>
          <cell r="CP40">
            <v>-0.13375433622368127</v>
          </cell>
          <cell r="CQ40">
            <v>-0.74823761444837045</v>
          </cell>
        </row>
        <row r="42">
          <cell r="B42" t="str">
            <v>*</v>
          </cell>
          <cell r="C42" t="str">
            <v>*</v>
          </cell>
          <cell r="D42" t="str">
            <v>*</v>
          </cell>
          <cell r="E42" t="str">
            <v>*</v>
          </cell>
          <cell r="F42" t="str">
            <v>*</v>
          </cell>
          <cell r="G42" t="str">
            <v>*</v>
          </cell>
          <cell r="H42" t="str">
            <v>*</v>
          </cell>
          <cell r="I42" t="str">
            <v>*</v>
          </cell>
          <cell r="J42" t="str">
            <v>*</v>
          </cell>
          <cell r="K42" t="str">
            <v>*</v>
          </cell>
          <cell r="L42" t="str">
            <v>*</v>
          </cell>
          <cell r="M42" t="str">
            <v>*</v>
          </cell>
          <cell r="N42" t="str">
            <v>*</v>
          </cell>
          <cell r="O42" t="str">
            <v>*</v>
          </cell>
          <cell r="P42" t="str">
            <v>*</v>
          </cell>
          <cell r="Q42" t="str">
            <v>*</v>
          </cell>
          <cell r="R42" t="str">
            <v>*</v>
          </cell>
          <cell r="S42" t="str">
            <v>*</v>
          </cell>
          <cell r="T42" t="str">
            <v>*</v>
          </cell>
          <cell r="U42" t="str">
            <v>*</v>
          </cell>
          <cell r="V42" t="str">
            <v>*</v>
          </cell>
          <cell r="W42" t="str">
            <v>*</v>
          </cell>
          <cell r="X42" t="str">
            <v>*</v>
          </cell>
          <cell r="Y42" t="str">
            <v>*</v>
          </cell>
          <cell r="Z42" t="str">
            <v>*</v>
          </cell>
          <cell r="AA42" t="str">
            <v>*</v>
          </cell>
          <cell r="AB42" t="str">
            <v>*</v>
          </cell>
          <cell r="AC42" t="str">
            <v>*</v>
          </cell>
          <cell r="AD42" t="str">
            <v>*</v>
          </cell>
          <cell r="AE42" t="str">
            <v>*</v>
          </cell>
          <cell r="AF42" t="str">
            <v>*</v>
          </cell>
          <cell r="AG42" t="str">
            <v>*</v>
          </cell>
          <cell r="AH42" t="str">
            <v>*</v>
          </cell>
          <cell r="AI42" t="str">
            <v>*</v>
          </cell>
          <cell r="AJ42" t="str">
            <v>*</v>
          </cell>
          <cell r="AK42" t="str">
            <v>*</v>
          </cell>
          <cell r="AL42" t="str">
            <v>*</v>
          </cell>
          <cell r="AM42" t="str">
            <v>*</v>
          </cell>
          <cell r="AN42" t="str">
            <v>*</v>
          </cell>
          <cell r="AO42" t="str">
            <v>*</v>
          </cell>
          <cell r="AP42" t="str">
            <v>*</v>
          </cell>
          <cell r="AQ42" t="str">
            <v>*</v>
          </cell>
          <cell r="AR42" t="str">
            <v>*</v>
          </cell>
          <cell r="AS42" t="str">
            <v>*</v>
          </cell>
          <cell r="AT42" t="str">
            <v>*</v>
          </cell>
          <cell r="AU42" t="str">
            <v>*</v>
          </cell>
          <cell r="AV42" t="str">
            <v>*</v>
          </cell>
          <cell r="AY42" t="str">
            <v>*</v>
          </cell>
          <cell r="AZ42" t="str">
            <v>*</v>
          </cell>
          <cell r="BA42" t="str">
            <v>*</v>
          </cell>
          <cell r="BB42" t="str">
            <v>*</v>
          </cell>
          <cell r="BC42" t="str">
            <v>*</v>
          </cell>
          <cell r="BD42" t="str">
            <v>*</v>
          </cell>
          <cell r="BE42" t="str">
            <v>*</v>
          </cell>
          <cell r="BF42" t="str">
            <v>*</v>
          </cell>
          <cell r="BG42" t="str">
            <v>*</v>
          </cell>
          <cell r="BH42" t="str">
            <v>*</v>
          </cell>
          <cell r="BI42" t="str">
            <v>*</v>
          </cell>
          <cell r="BJ42" t="str">
            <v>*</v>
          </cell>
          <cell r="BK42" t="str">
            <v>*</v>
          </cell>
          <cell r="BL42" t="str">
            <v>*</v>
          </cell>
          <cell r="BM42" t="str">
            <v>*</v>
          </cell>
          <cell r="BN42" t="str">
            <v>*</v>
          </cell>
          <cell r="BO42" t="str">
            <v>*</v>
          </cell>
          <cell r="BP42" t="str">
            <v>*</v>
          </cell>
          <cell r="BQ42" t="str">
            <v>*</v>
          </cell>
          <cell r="BR42" t="str">
            <v>*</v>
          </cell>
          <cell r="BS42" t="str">
            <v>*</v>
          </cell>
          <cell r="BT42" t="str">
            <v>*</v>
          </cell>
          <cell r="BU42" t="str">
            <v>*</v>
          </cell>
          <cell r="BV42" t="str">
            <v>*</v>
          </cell>
          <cell r="BW42" t="str">
            <v>*</v>
          </cell>
          <cell r="BX42" t="str">
            <v>*</v>
          </cell>
          <cell r="BY42" t="str">
            <v>*</v>
          </cell>
          <cell r="BZ42" t="str">
            <v>*</v>
          </cell>
          <cell r="CA42" t="str">
            <v>*</v>
          </cell>
          <cell r="CB42" t="str">
            <v>*</v>
          </cell>
          <cell r="CC42" t="str">
            <v>*</v>
          </cell>
          <cell r="CD42" t="str">
            <v>*</v>
          </cell>
          <cell r="CE42" t="str">
            <v>*</v>
          </cell>
          <cell r="CF42" t="str">
            <v>*</v>
          </cell>
          <cell r="CG42" t="str">
            <v>*</v>
          </cell>
          <cell r="CH42" t="str">
            <v>*</v>
          </cell>
          <cell r="CI42" t="str">
            <v>*</v>
          </cell>
          <cell r="CJ42" t="str">
            <v>*</v>
          </cell>
          <cell r="CK42" t="str">
            <v>*</v>
          </cell>
          <cell r="CL42" t="str">
            <v>*</v>
          </cell>
          <cell r="CM42" t="str">
            <v>*</v>
          </cell>
          <cell r="CN42" t="str">
            <v>*</v>
          </cell>
          <cell r="CO42" t="str">
            <v>*</v>
          </cell>
          <cell r="CP42" t="str">
            <v>*</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CF"/>
      <sheetName val="WACC"/>
      <sheetName val="Shares"/>
      <sheetName val="IS - Estimates"/>
      <sheetName val="IS - Annual"/>
      <sheetName val="IS - Quarterly"/>
      <sheetName val="CFS - Estimates"/>
      <sheetName val="CFS - Annual"/>
      <sheetName val="CFS - Quarterly"/>
    </sheetNames>
    <sheetDataSet>
      <sheetData sheetId="0" refreshError="1"/>
      <sheetData sheetId="1">
        <row r="18">
          <cell r="E18">
            <v>0.09</v>
          </cell>
        </row>
        <row r="19">
          <cell r="E19">
            <v>0.03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CF"/>
      <sheetName val="WACC"/>
      <sheetName val="Shares"/>
      <sheetName val="IS - Historicals"/>
      <sheetName val="IS - Forecast"/>
      <sheetName val="CFS - Historicals"/>
      <sheetName val="CFS - Forecast"/>
    </sheetNames>
    <sheetDataSet>
      <sheetData sheetId="0" refreshError="1"/>
      <sheetData sheetId="1">
        <row r="18">
          <cell r="E18">
            <v>8.4806000000000006E-2</v>
          </cell>
        </row>
        <row r="19">
          <cell r="E19">
            <v>2.5000000000000001E-2</v>
          </cell>
        </row>
      </sheetData>
      <sheetData sheetId="2" refreshError="1"/>
      <sheetData sheetId="3"/>
      <sheetData sheetId="4" refreshError="1"/>
      <sheetData sheetId="5" refreshError="1"/>
      <sheetData sheetId="6" refreshError="1"/>
      <sheetData sheetId="7"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3">
  <rv s="0">
    <v>https://www.bing.com/financeapi/forcetrigger?t=ahju6h&amp;q=XNSE%3aSBIN&amp;form=skydnc</v>
    <v>Learn more on Bing</v>
  </rv>
  <rv s="1">
    <v>en-IN</v>
    <v>ahju6h</v>
    <v>268435456</v>
    <v>1</v>
    <v>Powered by Refinitiv</v>
    <v>0</v>
    <v>State Bank of India (XNSE:SBIN)</v>
    <v>2</v>
    <v>3</v>
    <v>Finance</v>
    <v>4</v>
    <v>1083.5999999999999</v>
    <v>680</v>
    <v>1.2209000000000001</v>
    <v>-58.95</v>
    <v>-5.4728000000000006E-2</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1083.5999999999999</v>
    <v>Banking Services</v>
    <v>Stock</v>
    <v>46054.463831018518</v>
    <v>0</v>
    <v>988.3</v>
    <v>9493229000000</v>
    <v>State Bank of India</v>
    <v>State Bank of India</v>
    <v>1076</v>
    <v>12.02</v>
    <v>1077.1500000000001</v>
    <v>1018.2</v>
    <v>9230617000</v>
    <v>SBIN</v>
    <v>State Bank of India (XNSE:SBIN)</v>
    <v>12051593</v>
    <v>10661910</v>
  </rv>
  <rv s="2">
    <v>1</v>
  </rv>
  <rv s="0">
    <v>https://www.bing.com/financeapi/forcetrigger?t=ahi3jc&amp;q=XNSE%3aHDFCBANK&amp;form=skydnc</v>
    <v>Learn more on Bing</v>
  </rv>
  <rv s="3">
    <v>en-IN</v>
    <v>ahi3jc</v>
    <v>268435456</v>
    <v>1</v>
    <v>Powered by Refinitiv</v>
    <v>5</v>
    <v>HDFC BANK LIMITED (XNSE:HDFCBANK)</v>
    <v>2</v>
    <v>6</v>
    <v>Finance</v>
    <v>4</v>
    <v>1020.5</v>
    <v>810.98</v>
    <v>0.96819999999999995</v>
    <v>-7.15</v>
    <v>-7.6939999999999995E-3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215739</v>
    <v>National Stock Exchange of India</v>
    <v>XNSE</v>
    <v>XNSE</v>
    <v>'Hdfc Bank House', Senapati Bapat Road, Lower Parel (West), Mumbai India, MUMBAI, MAHARASHTRA, 400013 IN</v>
    <v>939.65</v>
    <v>Banking Services</v>
    <v>Stock</v>
    <v>46054.463819444441</v>
    <v>3</v>
    <v>912.65</v>
    <v>14420670000000</v>
    <v>HDFC BANK LIMITED</v>
    <v>HDFC BANK LIMITED</v>
    <v>932</v>
    <v>19.13</v>
    <v>929.25</v>
    <v>922.1</v>
    <v>15386800000</v>
    <v>HDFCBANK</v>
    <v>HDFC BANK LIMITED (XNSE:HDFCBANK)</v>
    <v>9856486</v>
    <v>36715890</v>
    <v>1994</v>
  </rv>
  <rv s="2">
    <v>4</v>
  </rv>
  <rv s="0">
    <v>http://en.wikipedia.org/wiki/Public_domain</v>
    <v>Public domain</v>
  </rv>
  <rv s="0">
    <v>http://zh.wikipedia.org/wiki/ICICI银行</v>
    <v>Wikipedia</v>
  </rv>
  <rv s="4">
    <v>6</v>
    <v>7</v>
  </rv>
  <rv s="5">
    <v>11</v>
    <v>https://www.bing.com/th?id=AMMS_7a55564cbcf9b185c2bd50f7f3a85b23&amp;qlt=95</v>
    <v>8</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1500</v>
    <v>1193.0999999999999</v>
    <v>0.96389999999999998</v>
    <v>-20.8</v>
    <v>-1.5350999999999998E-2</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129177</v>
    <v>National Stock Exchange of India</v>
    <v>XNSE</v>
    <v>XNSE</v>
    <v>ICICI Bank Towers, Bandra-Kurla Complex, MUMBAI, MAHARASHTRA, 400051 IN</v>
    <v>1365.9</v>
    <v>9</v>
    <v>Banking Services</v>
    <v>Stock</v>
    <v>46054.463831018518</v>
    <v>10</v>
    <v>1328.8</v>
    <v>10272960000000</v>
    <v>ICICI BANK LIMITED</v>
    <v>ICICI BANK LIMITED</v>
    <v>1352</v>
    <v>17.936699999999998</v>
    <v>1355</v>
    <v>1334.2</v>
    <v>7153235000</v>
    <v>ICICIBANK</v>
    <v>ICICI BANK LIMITED (XNSE:ICICIBANK)</v>
    <v>4969610</v>
    <v>18948720</v>
    <v>1994</v>
  </rv>
  <rv s="2">
    <v>11</v>
  </rv>
  <rv s="0">
    <v>https://www.bing.com/financeapi/forcetrigger?t=ahh2gh&amp;q=XNSE%3aAXISBANK&amp;form=skydnc</v>
    <v>Learn more on Bing</v>
  </rv>
  <rv s="3">
    <v>en-IN</v>
    <v>ahh2gh</v>
    <v>268435456</v>
    <v>1</v>
    <v>Powered by Refinitiv</v>
    <v>5</v>
    <v>AXIS BANK LIMITED (XNSE:AXISBANK)</v>
    <v>2</v>
    <v>6</v>
    <v>Finance</v>
    <v>4</v>
    <v>1384.9</v>
    <v>933.5</v>
    <v>1.1425000000000001</v>
    <v>-30</v>
    <v>-2.1890999999999997E-2</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1384.9</v>
    <v>Banking Services</v>
    <v>Stock</v>
    <v>46054.463831018518</v>
    <v>13</v>
    <v>1332.1</v>
    <v>3918788000000</v>
    <v>AXIS BANK LIMITED</v>
    <v>AXIS BANK LIMITED</v>
    <v>1373.2</v>
    <v>16.18</v>
    <v>1370.4</v>
    <v>1340.4</v>
    <v>3105459000</v>
    <v>AXISBANK</v>
    <v>AXIS BANK LIMITED (XNSE:AXISBANK)</v>
    <v>3021528</v>
    <v>10797510</v>
    <v>1993</v>
  </rv>
  <rv s="2">
    <v>14</v>
  </rv>
  <rv s="0">
    <v>https://www.bing.com/financeapi/forcetrigger?t=ahinjc&amp;q=XNSE%3aKOTAKBANK&amp;form=skydnc</v>
    <v>Learn more on Bing</v>
  </rv>
  <rv s="3">
    <v>en-IN</v>
    <v>ahinjc</v>
    <v>268435456</v>
    <v>1</v>
    <v>Powered by Refinitiv</v>
    <v>5</v>
    <v>KOTAK MAHINDRA BANK LIMITED (XNSE:KOTAKBANK)</v>
    <v>2</v>
    <v>6</v>
    <v>Finance</v>
    <v>4</v>
    <v>460.38</v>
    <v>372.55</v>
    <v>0.88080000000000003</v>
    <v>-0.75</v>
    <v>-1.838E-3</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415.9</v>
    <v>Banking Services</v>
    <v>Stock</v>
    <v>46054.463831018518</v>
    <v>16</v>
    <v>403.3</v>
    <v>4241952000000</v>
    <v>KOTAK MAHINDRA BANK LIMITED</v>
    <v>KOTAK MAHINDRA BANK LIMITED</v>
    <v>408.5</v>
    <v>21.5426</v>
    <v>408</v>
    <v>407.25</v>
    <v>10946460000</v>
    <v>KOTAKBANK</v>
    <v>KOTAK MAHINDRA BANK LIMITED (XNSE:KOTAKBANK)</v>
    <v>8965172</v>
    <v>20525450</v>
    <v>1985</v>
  </rv>
  <rv s="2">
    <v>17</v>
  </rv>
  <rv s="0">
    <v>https://www.bing.com/financeapi/forcetrigger?t=ahibur&amp;q=XNSE%3aINDUSINDBK&amp;form=skydnc</v>
    <v>Learn more on Bing</v>
  </rv>
  <rv s="3">
    <v>en-IN</v>
    <v>ahibur</v>
    <v>268435456</v>
    <v>1</v>
    <v>Powered by Refinitiv</v>
    <v>5</v>
    <v>INDUSIND BANK LTD. (XNSE:INDUSINDBK)</v>
    <v>2</v>
    <v>6</v>
    <v>Finance</v>
    <v>4</v>
    <v>1086.55</v>
    <v>606</v>
    <v>1.2841</v>
    <v>-0.5</v>
    <v>-5.5800000000000001E-4</v>
    <v>INR</v>
    <v>IndusInd Bank Limited (the Bank) is engaged in providing financial services. The Bank offers a wide range of products and services for individuals and corporates, including microfinance, personal loans, personal and commercial vehicle loans, credit cards and small to medium enterprise (SME) loans. The Bank's segments include Treasury, Corporate/ Wholesale Banking, Retail Banking, and Other Banking Operation. The Treasury segment includes all investment portfolios, profit/ loss on sale of investments, profit/ loss on foreign exchange transactions, equities, income from derivatives and money market operations. The Corporate/ Wholesale Banking segment includes lending to and deposits from corporate customers and identified earnings and expenses of the segment. The Retail Banking segment includes lending to and deposits from retail customers and identifies earnings and expenses of the segment. The Retail Banking segment is sub-divided into Digital Banking and Other Retail Banking segment.</v>
    <v>44974</v>
    <v>National Stock Exchange of India</v>
    <v>XNSE</v>
    <v>XNSE</v>
    <v>8th floor, Tower 1, One World Center, Senapati Bapat Marg, Elphinstone Road (W), MUMBAI, MAHARASHTRA, 400013 IN</v>
    <v>906</v>
    <v>Banking Services</v>
    <v>Stock</v>
    <v>46054.463831018518</v>
    <v>19</v>
    <v>863.3</v>
    <v>709387600000</v>
    <v>INDUSIND BANK LTD.</v>
    <v>INDUSIND BANK LTD.</v>
    <v>894.1</v>
    <v>0</v>
    <v>896.1</v>
    <v>895.6</v>
    <v>779076000</v>
    <v>INDUSINDBK</v>
    <v>INDUSIND BANK LTD. (XNSE:INDUSINDBK)</v>
    <v>2530553</v>
    <v>5296650</v>
    <v>1994</v>
  </rv>
  <rv s="2">
    <v>20</v>
  </rv>
  <rv s="0">
    <v>https://www.bing.com/financeapi/forcetrigger?t=ahh4nm&amp;q=XNSE%3aBANKBARODA&amp;form=skydnc</v>
    <v>Learn more on Bing</v>
  </rv>
  <rv s="3">
    <v>en-IN</v>
    <v>ahh4nm</v>
    <v>268435456</v>
    <v>1</v>
    <v>Powered by Refinitiv</v>
    <v>5</v>
    <v>THE BANK OF BARODA LIMITED (XNSE:BANKBARODA)</v>
    <v>2</v>
    <v>6</v>
    <v>Finance</v>
    <v>4</v>
    <v>313.35000000000002</v>
    <v>190.7</v>
    <v>1.3509</v>
    <v>-19.7</v>
    <v>-6.5797999999999995E-2</v>
    <v>INR</v>
    <v>The Bank of Baroda Limited is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provides a range of digital products, such as bob world merchant (POS), bob world tab, bobworld digital rupee, debit card e-mandate, tokenisation, instant banking, cards, FASTag, phone banking, doorstep banking, automated teller machines (ATMs) and kiosks, and others. It offers a range of loans, such as home loans, vehicle loans, personal loans, baroda yoddha loans for defense personnel, education loans, other loans, gold loans, mortgage loans, and fintech. It offers range of insurance, such as general insurance, life insurance, and standalone health insurance. The Bank has 8,463 branches, and 9,316 ATMs.</v>
    <v>75008</v>
    <v>National Stock Exchange of India</v>
    <v>XNSE</v>
    <v>XNSE</v>
    <v>Baroda Corporate Centre, Plot No. C-26, Block G, Bandra Kurla Complex, Bandra (East), MUMBAI, MAHARASHTRA, 400051 IN</v>
    <v>296.55</v>
    <v>Banking Services</v>
    <v>Stock</v>
    <v>46054.463831018518</v>
    <v>22</v>
    <v>276.3</v>
    <v>1560976000000</v>
    <v>THE BANK OF BARODA LIMITED</v>
    <v>THE BANK OF BARODA LIMITED</v>
    <v>295</v>
    <v>7.4290000000000003</v>
    <v>299.39999999999998</v>
    <v>279.7</v>
    <v>5171362000</v>
    <v>BANKBARODA</v>
    <v>THE BANK OF BARODA LIMITED (XNSE:BANKBARODA)</v>
    <v>15795862</v>
    <v>10707290</v>
    <v>1911</v>
  </rv>
  <rv s="2">
    <v>23</v>
  </rv>
  <rv s="0">
    <v>https://www.bing.com/financeapi/forcetrigger?t=ahjg7w&amp;q=XNSE%3aPNB&amp;form=skydnc</v>
    <v>Learn more on Bing</v>
  </rv>
  <rv s="3">
    <v>en-IN</v>
    <v>ahjg7w</v>
    <v>268435456</v>
    <v>1</v>
    <v>Powered by Refinitiv</v>
    <v>5</v>
    <v>Punjab National Bank (XNSE:PNB)</v>
    <v>2</v>
    <v>6</v>
    <v>Finance</v>
    <v>4</v>
    <v>135.15</v>
    <v>85.46</v>
    <v>1.5041</v>
    <v>-3.6</v>
    <v>-2.8756E-2</v>
    <v>INR</v>
    <v>Punjab National Bank is an India-based bank. The Company's segments include Treasury, Corporate/Wholesale Banking, Retail Banking and Other Banking Operations. Its product categories include personal, corporate, international and capital services. Its personal products include deposit, loans, approved housing projects, accounts, insurance, government business, financial inclusion and priority sector. Its corporate products include corporate loans, forex services offered to exporter and importer, cash management services, and gold card scheme for exporters. The Company's international products include foreign exchange (FX) retail platform, Libor transition, schemes/products/services, non-resident Indian (NRI) services, help desk for forex services and world travel card. Its capital services include depository services, mutual funds, merchant banking and application supported by blocked amount. Its e-services include retail Internet banking, e-statement, SMS banking and point of sale.</v>
    <v>102746</v>
    <v>National Stock Exchange of India</v>
    <v>XNSE</v>
    <v>XNSE</v>
    <v>Plot No 4, Sector -10, Dwarka, NEW DELHI, DELHI, 110075 IN</v>
    <v>124.8</v>
    <v>Banking Services</v>
    <v>Stock</v>
    <v>46054.463842592595</v>
    <v>25</v>
    <v>119.14</v>
    <v>1431101000000</v>
    <v>Punjab National Bank</v>
    <v>Punjab National Bank</v>
    <v>124.8</v>
    <v>8.09</v>
    <v>125.19</v>
    <v>121.59</v>
    <v>11492940000</v>
    <v>PNB</v>
    <v>Punjab National Bank (XNSE:PNB)</v>
    <v>18751349</v>
    <v>29407490</v>
    <v>1894</v>
  </rv>
  <rv s="2">
    <v>26</v>
  </rv>
  <rv s="0">
    <v>http://en.wikipedia.org/wiki/Canara_Bank</v>
    <v>Wikipedia</v>
  </rv>
  <rv s="4">
    <v>6</v>
    <v>28</v>
  </rv>
  <rv s="5">
    <v>11</v>
    <v>https://www.bing.com/th?id=AMMS_c85087fd4a4a5af8fc014bd99fcebd02&amp;qlt=95</v>
    <v>29</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160.79</v>
    <v>78.599999999999994</v>
    <v>1.6761999999999999</v>
    <v>-6.37</v>
    <v>-4.3209999999999998E-2</v>
    <v>INR</v>
    <v>The Canara Bank Limited (the Bank) is an India-based bank. The Bank’s segments include Treasury Operations, Retail Banking Operations, Wholesale Banking Operations, Life Insurance Operations and Other Banking Operations. Its Retail Banking Operations include Digital Banking and Other Retail Banking. Its products and services include personal banking and corporate banking. Its personal banking includes depository services, mutual funds, technology products, retail loan products, micro, small and medium enterprise loan products and card services. Its corporate banking includes accounts and deposits, supply chain finance management, syndication services and technology upgradation fund schemes, among others. It also offers the depository services. It offers unbanked rural people with basic savings deposit accounts, PMJDY Overdraft Facilities and credit facilities under products, such as differential rate of interest scheme, Kisan Credit Card Scheme and various other credit products.</v>
    <v>81260</v>
    <v>National Stock Exchange of India</v>
    <v>XNSE</v>
    <v>XNSE</v>
    <v>Head Office No.112, J C Road, BANGALORE, KARNATAKA, 560002 IN</v>
    <v>148.91999999999999</v>
    <v>30</v>
    <v>Banking Services</v>
    <v>Stock</v>
    <v>46054.463842592595</v>
    <v>31</v>
    <v>138.01</v>
    <v>1368399000000</v>
    <v>THE CANARA BANK LIMITED</v>
    <v>THE CANARA BANK LIMITED</v>
    <v>145.97999999999999</v>
    <v>6.62</v>
    <v>147.41999999999999</v>
    <v>141.05000000000001</v>
    <v>9070651000</v>
    <v>CANBK</v>
    <v>THE CANARA BANK LIMITED (XNSE:CANBK)</v>
    <v>26364131</v>
    <v>34833770</v>
    <v>1906</v>
  </rv>
  <rv s="2">
    <v>32</v>
  </rv>
  <rv s="0">
    <v>https://www.bing.com/financeapi/forcetrigger?t=ahkhjc&amp;q=XNSE%3aUNIONBANK&amp;form=skydnc</v>
    <v>Learn more on Bing</v>
  </rv>
  <rv s="3">
    <v>en-IN</v>
    <v>ahkhjc</v>
    <v>268435456</v>
    <v>1</v>
    <v>Powered by Refinitiv</v>
    <v>5</v>
    <v>UNION BANK OF INDIA LIMITED (XNSE:UNIONBANK)</v>
    <v>2</v>
    <v>6</v>
    <v>Finance</v>
    <v>4</v>
    <v>183.34</v>
    <v>104.47</v>
    <v>1.1767000000000001</v>
    <v>-11.39</v>
    <v>-6.3011999999999999E-2</v>
    <v>INR</v>
    <v>Union Bank of India Limited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an online donation facility. It provides digital services, such as app banking, Internet banking, automated teller machine banking, self-service banking and immediate payment service (IMPS). It also provides foreign currency loans.</v>
    <v>73945</v>
    <v>National Stock Exchange of India</v>
    <v>XNSE</v>
    <v>XNSE</v>
    <v>Union Bank Bhavan, 239, Vidhan Bhavan Marg, Nariman Point, MUMBAI, MAHARASHTRA, 400021 IN</v>
    <v>181.59</v>
    <v>Banking Services</v>
    <v>Stock</v>
    <v>46054.463842592595</v>
    <v>34</v>
    <v>167.42</v>
    <v>1268629000000</v>
    <v>UNION BANK OF INDIA LIMITED</v>
    <v>UNION BANK OF INDIA LIMITED</v>
    <v>180.75</v>
    <v>6.8251999999999997</v>
    <v>180.76</v>
    <v>169.37</v>
    <v>7633605000</v>
    <v>UNIONBANK</v>
    <v>UNION BANK OF INDIA LIMITED (XNSE:UNIONBANK)</v>
    <v>13587080</v>
    <v>22898070</v>
    <v>1919</v>
  </rv>
  <rv s="2">
    <v>35</v>
  </rv>
  <rv s="0">
    <v>https://www.bing.com/financeapi/forcetrigger?t=ahhr77&amp;q=XNSE%3aFEDERALBNK&amp;form=skydnc</v>
    <v>Learn more on Bing</v>
  </rv>
  <rv s="3">
    <v>en-IN</v>
    <v>ahhr77</v>
    <v>268435456</v>
    <v>1</v>
    <v>Powered by Refinitiv</v>
    <v>5</v>
    <v>THE FEDERAL BANK LTD (XNSE:FEDERALBNK)</v>
    <v>2</v>
    <v>6</v>
    <v>Finance</v>
    <v>4</v>
    <v>289.60000000000002</v>
    <v>172.66</v>
    <v>0.86509999999999998</v>
    <v>-2.65</v>
    <v>-9.2090000000000002E-3</v>
    <v>INR</v>
    <v>The Federal Bank Limited (the Bank) is a banking company. The Bank is engaged in providing banking and financial services, including commercial banking, retail and corporate banking, project and corporate finance, working capital finance, insurance and treasury products and services. Its segment includes Treasury, Corporate/Wholesale Banking, Retail Banking, and other banking operations.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v>
    <v>16111</v>
    <v>National Stock Exchange of India</v>
    <v>XNSE</v>
    <v>XNSE</v>
    <v>Federal Towers, P. B. No. 103,, Alwaye, ERNAKULAM, KERALA, 683101 IN</v>
    <v>288.8</v>
    <v>Banking Services</v>
    <v>Stock</v>
    <v>46054.463819444441</v>
    <v>37</v>
    <v>281.25</v>
    <v>613857500000</v>
    <v>THE FEDERAL BANK LTD</v>
    <v>THE FEDERAL BANK LTD</v>
    <v>288.55</v>
    <v>17.25</v>
    <v>287.75</v>
    <v>285.10000000000002</v>
    <v>2462813000</v>
    <v>FEDERALBNK</v>
    <v>THE FEDERAL BANK LTD (XNSE:FEDERALBNK)</v>
    <v>3155061</v>
    <v>19572760</v>
    <v>1931</v>
  </rv>
  <rv s="2">
    <v>38</v>
  </rv>
  <rv s="0">
    <v>https://www.bing.com/financeapi/forcetrigger?t=ahi8zr&amp;q=XNSE%3aIDFCFIRSTB&amp;form=skydnc</v>
    <v>Learn more on Bing</v>
  </rv>
  <rv s="3">
    <v>en-IN</v>
    <v>ahi8zr</v>
    <v>268435456</v>
    <v>1</v>
    <v>Powered by Refinitiv</v>
    <v>5</v>
    <v>IDFC FIRST BANK LIMITED (XNSE:IDFCFIRSTB)</v>
    <v>2</v>
    <v>6</v>
    <v>Finance</v>
    <v>4</v>
    <v>87</v>
    <v>52.46</v>
    <v>1.3983000000000001</v>
    <v>-1.55</v>
    <v>-1.8544999999999999E-2</v>
    <v>INR</v>
    <v>IDFC FIRST Bank Limited (the Bank) is a universal bank. The Bank offers end-to-end corporate banking, trade finance, such as issuance of LCs &amp; BGs, SBLC, packing credit, pre-shipment and post-shipment finance, including risk hedging solutions like forwards, swaps, options, and other forex solutions, SME banking, wealth management, cash management, nostro and vostro account operations, Escrow facilities, correspondent banking, fastag, toll-acquiring, dealer finance and purchase/sales invoice discounting. Its treasury segment primarily consists of the Bank’s investment portfolio, money market borrowing and lending, investment operations and the foreign exchange and derivatives portfolio of the Bank. Its corporate/wholesale banking segment provides loans, non-fund facilities, treasury products, and transaction services. Its retail banking segment lends to individual / business banking customers. Its other banking business segment includes the distribution of third-party products.</v>
    <v>42190</v>
    <v>National Stock Exchange of India</v>
    <v>XNSE</v>
    <v>XNSE</v>
    <v>The Square,C-61, G Block, Ground Floor To 8th Floor Bandra Kurla Complex, Bandra East, MUMBAI, MAHARASHTRA, 400051 IN</v>
    <v>84.5</v>
    <v>Banking Services</v>
    <v>Stock</v>
    <v>46054.463842592595</v>
    <v>40</v>
    <v>81.16</v>
    <v>713178400000</v>
    <v>IDFC FIRST BANK LIMITED</v>
    <v>IDFC FIRST BANK LIMITED</v>
    <v>84.5</v>
    <v>42.7</v>
    <v>83.58</v>
    <v>82.03</v>
    <v>8597745000</v>
    <v>IDFCFIRSTB</v>
    <v>IDFC FIRST BANK LIMITED (XNSE:IDFCFIRSTB)</v>
    <v>26916246</v>
    <v>27565420</v>
    <v>2014</v>
  </rv>
  <rv s="2">
    <v>41</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2">
    <spb s="0">
      <v>0</v>
      <v>Name</v>
      <v>LearnMoreOnLink</v>
    </spb>
    <spb s="1">
      <v>0</v>
      <v>0</v>
      <v>0</v>
    </spb>
    <spb s="2">
      <v>1</v>
      <v>1</v>
      <v>1</v>
      <v>1</v>
    </spb>
    <spb s="3">
      <v>1</v>
      <v>2</v>
      <v>2</v>
      <v>1</v>
      <v>3</v>
      <v>1</v>
      <v>1</v>
      <v>1</v>
      <v>4</v>
      <v>4</v>
      <v>5</v>
      <v>6</v>
      <v>1</v>
      <v>1</v>
      <v>1</v>
      <v>4</v>
      <v>7</v>
      <v>8</v>
      <v>4</v>
    </spb>
    <spb s="4">
      <v>Delayed 5 minutes</v>
      <v>from previous close</v>
      <v>from previous close</v>
      <v>GMT</v>
    </spb>
    <spb s="0">
      <v>1</v>
      <v>Name</v>
      <v>LearnMoreOnLink</v>
    </spb>
    <spb s="5">
      <v>1</v>
      <v>2</v>
      <v>2</v>
      <v>1</v>
      <v>3</v>
      <v>1</v>
      <v>1</v>
      <v>1</v>
      <v>4</v>
      <v>4</v>
      <v>5</v>
      <v>6</v>
      <v>1</v>
      <v>1</v>
      <v>1</v>
      <v>4</v>
      <v>7</v>
      <v>9</v>
      <v>8</v>
      <v>4</v>
    </spb>
    <spb s="0">
      <v>2</v>
      <v>Name</v>
      <v>LearnMoreOnLink</v>
    </spb>
    <spb s="6">
      <v>0</v>
      <v>0</v>
    </spb>
    <spb s="7">
      <v>8</v>
      <v>1</v>
      <v>1</v>
      <v>1</v>
      <v>1</v>
    </spb>
    <spb s="8">
      <v>1</v>
      <v>2</v>
      <v>2</v>
      <v>1</v>
      <v>3</v>
      <v>1</v>
      <v>10</v>
      <v>1</v>
      <v>1</v>
      <v>4</v>
      <v>4</v>
      <v>5</v>
      <v>6</v>
      <v>1</v>
      <v>1</v>
      <v>1</v>
      <v>4</v>
      <v>7</v>
      <v>9</v>
      <v>8</v>
      <v>4</v>
    </spb>
    <spb s="9">
      <v>Powered by Refinitiv</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dd/mm/yyyy\ hh:mm"/>
    </x:dxf>
    <x:dxf>
      <x:numFmt numFmtId="2" formatCode="0.00"/>
    </x:dxf>
    <x:dxf>
      <x:numFmt numFmtId="1" formatCode="0"/>
    </x:dxf>
  </dxfs>
  <richProperties>
    <rPr n="NumberFormat" t="s"/>
    <rPr n="IsTitleField" t="b"/>
    <rPr n="IsHeroField" t="b"/>
  </richProperties>
  <richStyles>
    <rSty dxfid="0">
      <rpv i="0" xml:space="preserve">_ [$₹-en-IN] * #,##0.00_ ;_ [$₹-en-IN] * -#,##0.00_ ;_ [$₹-en-IN] * "-"??_ ;_ @_ </rpv>
    </rSty>
    <rSty dxfid="1">
      <rpv i="0">#,##0.00</rpv>
    </rSty>
    <rSty>
      <rpv i="1">1</rpv>
    </rSty>
    <rSty dxfid="2">
      <rpv i="0">#,##0</rpv>
    </rSty>
    <rSty dxfid="3"/>
    <rSty dxfid="0">
      <rpv i="0" xml:space="preserve">_ [$₹-en-IN] * #,##0_ ;_ [$₹-en-IN] * -#,##0_ ;_ [$₹-en-IN] * "-"_ ;_ @_ </rpv>
    </rSty>
    <rSty dxfid="4"/>
    <rSty dxfid="5">
      <rpv i="0">0.00</rpv>
    </rSty>
    <rSty dxfid="6">
      <rpv i="0">0</rpv>
    </rSty>
    <rSty>
      <rpv i="2">1</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seindia.com/static/market-data/securities-available-for-trading" TargetMode="External"/><Relationship Id="rId1" Type="http://schemas.openxmlformats.org/officeDocument/2006/relationships/hyperlink" Target="https://ticker.finology.in/?utm_source=chatgpt.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17" Type="http://schemas.openxmlformats.org/officeDocument/2006/relationships/hyperlink" Target="fdsup://factset/Doc%20Viewer%20Single?float_window=true&amp;positioning_strategy=center_on_screen&amp;_doc_docfn=U2FsdGVkX187wDSXUKDo7IoZSAf1+WLfNwnFH5oqEz9mH8MX7aNJxV14A/LzFtVI6YFz78D/zrT+kvO3TYOFEqPXGIHdmfT1qpv4nMzoXsc=&amp;_app_id=central_doc_viewer&amp;center_on_screen=true&amp;width=950&amp;height=800&amp;_dd2=%26f%3Dsld%26c%3Dtrue%26os%3D139600%26oe%3D139607" TargetMode="External"/><Relationship Id="rId21" Type="http://schemas.openxmlformats.org/officeDocument/2006/relationships/hyperlink" Target="fdsup://factset/Doc%20Viewer%20Single?float_window=true&amp;positioning_strategy=center_on_screen&amp;_doc_docfn=U2FsdGVkX1/359HydM/eKtl1dF8l1qSJX4mabnaKnWy2UYknx6ruelVIGaMJUl9FNmCLGDUN3jr2Wsjm85TmYKIiPeflUpyzrmjA91pZgSg=&amp;_app_id=central_doc_viewer&amp;center_on_screen=true&amp;width=950&amp;height=800&amp;_dd2=%26f%3Dsld%26c%3Dtrue%26os%3D53554%26oe%3D53560" TargetMode="External"/><Relationship Id="rId42" Type="http://schemas.openxmlformats.org/officeDocument/2006/relationships/hyperlink" Target="fdsup://factset/Doc%20Viewer%20Single?float_window=true&amp;positioning_strategy=center_on_screen&amp;_doc_docfn=U2FsdGVkX18K0DdJP+0meHDiCyTIEI0BxWtXyylvv23pOo1tEpv6DLB4nDBgEW7ftEhqg5t63Ud+vjkJr8c4W6Xm7O6C8KheklQVnzvXuNY=&amp;_app_id=central_doc_viewer&amp;center_on_screen=true&amp;width=950&amp;height=800&amp;_dd2=%26f%3Dsld%26c%3Dtrue%26os%3D56367%26oe%3D56370" TargetMode="External"/><Relationship Id="rId63" Type="http://schemas.openxmlformats.org/officeDocument/2006/relationships/hyperlink" Target="fdsup://factset/Doc%20Viewer%20Single?float_window=true&amp;positioning_strategy=center_on_screen&amp;_doc_docfn=U2FsdGVkX18XL/86J6O7qTljRs1f7Tklv1iujZ42NPq9LwGYWl1HSgMMjTDRW9t3BZQ+iRFGkkyu+4vsy9ooiGbPXA8ws0lgnKQZR1c537k=&amp;_app_id=central_doc_viewer&amp;center_on_screen=true&amp;width=950&amp;height=800&amp;_dd2=%26f%3Dsld%26c%3Dtrue%26os%3D54554%26oe%3D54561" TargetMode="External"/><Relationship Id="rId84" Type="http://schemas.openxmlformats.org/officeDocument/2006/relationships/hyperlink" Target="fdsup://factset/Doc%20Viewer%20Single?float_window=true&amp;positioning_strategy=center_on_screen&amp;_doc_docfn=U2FsdGVkX18uPIh4th/QaIxn3PP/6sQIEmzJYF3DpG9R9PVF6v6xPhEdhxH73ivZPLkl1t6/JkAM4lMXYkJwN6NqxkxdJKu7ofCvwO0xn0I=&amp;_app_id=central_doc_viewer&amp;center_on_screen=true&amp;width=950&amp;height=800&amp;_dd2=%26f%3Dsld%26c%3Dtrue%26os%3D57607%26oe%3D57613" TargetMode="External"/><Relationship Id="rId138" Type="http://schemas.openxmlformats.org/officeDocument/2006/relationships/hyperlink" Target="fdsup://factset/Doc%20Viewer%20Single?float_window=true&amp;positioning_strategy=center_on_screen&amp;_doc_docfn=U2FsdGVkX1+p770KmMwEmNd9VrQ3decaZApzlRgDUB9t46eFrKME+DBA2hfIeDL87i8UHF+goRfXMtFY7SaEj6yUn6CFe+bJAVkTEAlNnkQ=&amp;_app_id=central_doc_viewer&amp;center_on_screen=true&amp;width=950&amp;height=800&amp;_dd2=%26f%3Dsld%26c%3Dtrue%26os%3D141237%26oe%3D141244" TargetMode="External"/><Relationship Id="rId159" Type="http://schemas.openxmlformats.org/officeDocument/2006/relationships/hyperlink" Target="fdsup://factset/Doc%20Viewer%20Single?float_window=true&amp;positioning_strategy=center_on_screen&amp;_doc_docfn=U2FsdGVkX1/jEMWG5YIllKAoz4UgNP8vJ/df00bgFdi9giLOYUv4BeYDjApClt/OzWQx7xP8B55tTwpOzqhOND6EsbVtEgx1MRDukGK+u4k=&amp;_app_id=central_doc_viewer&amp;center_on_screen=true&amp;width=950&amp;height=800&amp;_dd2=%26f%3Dsld%26c%3Dtrue%26os%3D130432%26oe%3D130437" TargetMode="External"/><Relationship Id="rId170" Type="http://schemas.openxmlformats.org/officeDocument/2006/relationships/hyperlink" Target="fdsup://factset/Doc%20Viewer%20Single?float_window=true&amp;positioning_strategy=center_on_screen&amp;_doc_docfn=U2FsdGVkX1+qC5NftTyTEWuDHdSyM49PyhNJocC1SEapqbD48rnTJgDHhv4Kzd1Xe6ow7K+mcsKH6SYNpuEtcO5bAxfM+YXkk/cIfQ9f/5Y=&amp;_app_id=central_doc_viewer&amp;center_on_screen=true&amp;width=950&amp;height=800&amp;_dd2=%26f%3Dsld%26c%3Dtrue%26os%3D132680%26oe%3D132686" TargetMode="External"/><Relationship Id="rId191" Type="http://schemas.openxmlformats.org/officeDocument/2006/relationships/hyperlink" Target="fdsup://factset/Doc%20Viewer%20Single?float_window=true&amp;positioning_strategy=center_on_screen&amp;_doc_docfn=U2FsdGVkX1+ocj7C3s6JCeYye+iL7pjzMSG1VLG/UPjgaIlmWJ6ARac1cP6aJ07dWMBLxrZAaxadl4rLlWCIGQTDiz0qQkkFdSK5t/+TbX0=&amp;_app_id=central_doc_viewer&amp;center_on_screen=true&amp;width=950&amp;height=800&amp;_dd2=%26f%3Dsld%26c%3Dtrue%26os%3D139220%26oe%3D139225" TargetMode="External"/><Relationship Id="rId205" Type="http://schemas.openxmlformats.org/officeDocument/2006/relationships/hyperlink" Target="fdsup://factset/Doc%20Viewer%20Single?float_window=true&amp;positioning_strategy=center_on_screen&amp;_doc_docfn=U2FsdGVkX18+vqkBHp7ItMN5wpMve11XGPC8tum7uhAvPnKtYGGDWKFYJ7L39paBcXm3fcioPivyEd2t5E/SwzkvxZMorDgBVLjbXrCDJUw=&amp;_app_id=central_doc_viewer&amp;center_on_screen=true&amp;width=950&amp;height=800&amp;_dd2=%26f%3Dsld%26c%3Dtrue%26os%3D69420%26oe%3D69423" TargetMode="External"/><Relationship Id="rId107" Type="http://schemas.openxmlformats.org/officeDocument/2006/relationships/hyperlink" Target="fdsup://factset/Doc%20Viewer%20Single?float_window=true&amp;positioning_strategy=center_on_screen&amp;_doc_docfn=U2FsdGVkX1+/7mJTt9lx/onrwsHRU6WXrQGKwmKT/t3HuZ0TAbgk2DDCssHncW3xanDRRXE56eMrsak4+lFiLHTwjXmTuVzUVcptUTsfiWk=&amp;_app_id=central_doc_viewer&amp;center_on_screen=true&amp;width=950&amp;height=800&amp;_dd2=%26f%3Dsld%26c%3Dtrue%26os%3D138904%26oe%3D138910" TargetMode="External"/><Relationship Id="rId11" Type="http://schemas.openxmlformats.org/officeDocument/2006/relationships/hyperlink" Target="fdsup://factset/Doc%20Viewer%20Single?float_window=true&amp;positioning_strategy=center_on_screen&amp;_doc_docfn=U2FsdGVkX1/CNcoKiDViZ9tIEwIsWY0X+ji6wCpngBJDeCWKYIg//iIFB1mmEItWRKulU6j1AB54MMyXrAswMmwnDDlaV4LTgXZuTvXaPZ0=&amp;_app_id=central_doc_viewer&amp;center_on_screen=true&amp;width=950&amp;height=800&amp;_dd2=%26f%3Dsld%26c%3Dtrue%26os%3D52799%26oe%3D52806" TargetMode="External"/><Relationship Id="rId32" Type="http://schemas.openxmlformats.org/officeDocument/2006/relationships/hyperlink" Target="fdsup://factset/Doc%20Viewer%20Single?float_window=true&amp;positioning_strategy=center_on_screen&amp;_doc_docfn=U2FsdGVkX19y0IzIdfUaa2PeHrX2Z/9nDxD2QSepEl0a5cS5RxLjSRvLLTNFhQmJ4qMct9tC9tUP0VHfo8PHdrWf8uZ4p25KZmjEML59/sM=&amp;_app_id=central_doc_viewer&amp;center_on_screen=true&amp;width=950&amp;height=800&amp;_dd2=%26f%3Dsld%26c%3Dtrue%26os%3D55577%26oe%3D55583" TargetMode="External"/><Relationship Id="rId37" Type="http://schemas.openxmlformats.org/officeDocument/2006/relationships/hyperlink" Target="fdsup://factset/Doc%20Viewer%20Single?float_window=true&amp;positioning_strategy=center_on_screen&amp;_doc_docfn=U2FsdGVkX18ArGT6qKYB0xG/Eyja6m4AgXOglFPdvayKjQN2cJKEksxHDPLCoDAagPmfCo4Qfw/CaNHq/qGs7rUjz9h6fVm6zTfk+Z2eHqM=&amp;_app_id=central_doc_viewer&amp;center_on_screen=true&amp;width=950&amp;height=800&amp;_dd2=%26f%3Dsld%26c%3Dtrue%26os%3D150809%26oe%3D150815" TargetMode="External"/><Relationship Id="rId53" Type="http://schemas.openxmlformats.org/officeDocument/2006/relationships/hyperlink" Target="fdsup://factset/Doc%20Viewer%20Single?float_window=true&amp;positioning_strategy=center_on_screen&amp;_doc_docfn=U2FsdGVkX19+MnqrhfozmVCMCo0FMQz9r7y8tHo8Xf/j4vUaiRQwYDteYn4EmXFOArjXRhOBZzvvBNsbLD03EgRIN0Qcskc7FSU4VSE5ULs=&amp;_app_id=central_doc_viewer&amp;center_on_screen=true&amp;width=950&amp;height=800&amp;_dd2=%26f%3Dsld%26c%3Dtrue%26os%3D57727%26oe%3D57734" TargetMode="External"/><Relationship Id="rId58" Type="http://schemas.openxmlformats.org/officeDocument/2006/relationships/hyperlink" Target="fdsup://factset/Doc%20Viewer%20Single?float_window=true&amp;positioning_strategy=center_on_screen&amp;_doc_docfn=U2FsdGVkX1+uZDtgY6VOimku1QvxJg8K4bj3n9/PoiMDU+zpVl47ky2OoQpZlTm6D5Zdc1VHMndSudA4sDXU3GPJlOMV1Q6tE7ZwZsuLT68=&amp;_app_id=central_doc_viewer&amp;center_on_screen=true&amp;width=950&amp;height=800&amp;_dd2=%26f%3Dsld%26c%3Dtrue%26os%3D125948%26oe%3D125955" TargetMode="External"/><Relationship Id="rId74" Type="http://schemas.openxmlformats.org/officeDocument/2006/relationships/hyperlink" Target="fdsup://factset/Doc%20Viewer%20Single?float_window=true&amp;positioning_strategy=center_on_screen&amp;_doc_docfn=U2FsdGVkX19wsCwDdEPM+q6y2OzUM5KkjlS9GJQwG57bT6cjmg4/H0k09+4bL5CNluJ2QqqLFNAkf7d5/Tpz1TLTpTX1ks+ly9Fbix7CZnE=&amp;_app_id=central_doc_viewer&amp;center_on_screen=true&amp;width=950&amp;height=800&amp;_dd2=%26f%3Dsld%26c%3Dtrue%26os%3D56800%26oe%3D56806" TargetMode="External"/><Relationship Id="rId79" Type="http://schemas.openxmlformats.org/officeDocument/2006/relationships/hyperlink" Target="fdsup://factset/Doc%20Viewer%20Single?float_window=true&amp;positioning_strategy=center_on_screen&amp;_doc_docfn=U2FsdGVkX1+mDpVZslX7bAmed1hCJyowq+PxIQPJCwtHPxoBoXGulZw5+6AqXuk/uP7Sie1SPSlhGDOcZSfCl4fG52UAl2A3dWrphznI3GQ=&amp;_app_id=central_doc_viewer&amp;center_on_screen=true&amp;width=950&amp;height=800&amp;_dd2=%26f%3Dsld%26c%3Dtrue%26os%3D125192%26oe%3D125198" TargetMode="External"/><Relationship Id="rId102" Type="http://schemas.openxmlformats.org/officeDocument/2006/relationships/hyperlink" Target="fdsup://factset/Doc%20Viewer%20Single?float_window=true&amp;positioning_strategy=center_on_screen&amp;_doc_docfn=U2FsdGVkX1+gdQh/mevz7pZGPEzMEkBm/QNIwXO0yKbisvoxI5zW0KTZqp5DFMb9AWnx62HECyUy+4hoNZtnZh5lOmBLhOnZU87VaPFy9EA=&amp;_app_id=central_doc_viewer&amp;center_on_screen=true&amp;width=950&amp;height=800&amp;_dd2=%26f%3Dsld%26c%3Dtrue%26os%3D62192%26oe%3D62198" TargetMode="External"/><Relationship Id="rId123" Type="http://schemas.openxmlformats.org/officeDocument/2006/relationships/hyperlink" Target="fdsup://factset/Doc%20Viewer%20Single?float_window=true&amp;positioning_strategy=center_on_screen&amp;_doc_docfn=U2FsdGVkX1+CtgjVuFQU3MPs48Ffy5BeNkWt5dPx50MTKx2gMp69WZGYArZInCcMftHZkTOmm3lzwXwCHaFGU6gdcUjvERsKQtD/faMlF2c=&amp;_app_id=central_doc_viewer&amp;center_on_screen=true&amp;width=950&amp;height=800&amp;_dd2=%26f%3Dsld%26c%3Dtrue%26os%3D63789%26oe%3D63795" TargetMode="External"/><Relationship Id="rId128" Type="http://schemas.openxmlformats.org/officeDocument/2006/relationships/hyperlink" Target="fdsup://factset/Doc%20Viewer%20Single?float_window=true&amp;positioning_strategy=center_on_screen&amp;_doc_docfn=U2FsdGVkX18MbV+/O36FOEOlYCpFkkV+pXQKpnpuhNdAPM3NCz1I4F4pTHkXO4fqvTlQd++AlR6qnA8Tr2wdoiHmtue6q+MifFXoUraMC6k=&amp;_app_id=central_doc_viewer&amp;center_on_screen=true&amp;width=950&amp;height=800&amp;_dd2=%26f%3Dsld%26c%3Dtrue%26os%3D140379%26oe%3D140385" TargetMode="External"/><Relationship Id="rId144" Type="http://schemas.openxmlformats.org/officeDocument/2006/relationships/hyperlink" Target="fdsup://factset/Doc%20Viewer%20Single?float_window=true&amp;positioning_strategy=center_on_screen&amp;_doc_docfn=U2FsdGVkX1+ND4dIBOzWXsAIqz9a5K6S23pnTKndlJLY1r2TxgEAoGLJmKwgTwXO5RWcBq9VZOtBZpXJV7nsnlGNyvZZHRh9bt2CKmSmKWI=&amp;_app_id=central_doc_viewer&amp;center_on_screen=true&amp;width=950&amp;height=800&amp;_dd2=%26f%3Dsld%26c%3Dtrue%26os%3D61792%26oe%3D61798" TargetMode="External"/><Relationship Id="rId149" Type="http://schemas.openxmlformats.org/officeDocument/2006/relationships/hyperlink" Target="fdsup://factset/Doc%20Viewer%20Single?float_window=true&amp;positioning_strategy=center_on_screen&amp;_doc_docfn=U2FsdGVkX19eStTdvR622PxAGEp4ATh1cbyqIYEKxp1g7GVsWtZ9svi5l2g3w03okbrhF0f3jcomXp2JcKJJClaZKVoX6bN+Cu+B+55EVNw=&amp;_app_id=central_doc_viewer&amp;center_on_screen=true&amp;width=950&amp;height=800&amp;_dd2=%26f%3Dsld%26c%3Dtrue%26os%3D129688%26oe%3D129694" TargetMode="External"/><Relationship Id="rId5" Type="http://schemas.openxmlformats.org/officeDocument/2006/relationships/hyperlink" Target="fdsup://factset/Doc%20Viewer%20Single?float_window=true&amp;positioning_strategy=center_on_screen&amp;_doc_docfn=U2FsdGVkX18/PR/W4bpf7hSTgo4zK/YMegaYQLd2siUJZCm+W3CmIu+AS05MvnvQAR1YR+PnB9jrJ02aHiG3H7TbM8LIJb5Di2ejnBOAqY0=&amp;_app_id=central_doc_viewer&amp;center_on_screen=true&amp;width=950&amp;height=800&amp;_dd2=%26f%3Dsld%26c%3Dtrue%26os%3D119184%26oe%3D119191" TargetMode="External"/><Relationship Id="rId90" Type="http://schemas.openxmlformats.org/officeDocument/2006/relationships/hyperlink" Target="fdsup://factset/Doc%20Viewer%20Single?float_window=true&amp;positioning_strategy=center_on_screen&amp;_doc_docfn=U2FsdGVkX18ULRVt96YTUrlnmPj7s6/gH+e5UCQxkUOnTQ0nuf25mKy97sYkuwbLgnPthJF1fONMcKh3fFV/gqrbwx0gc0b6z9zePUK1tKI=&amp;_app_id=central_doc_viewer&amp;center_on_screen=true&amp;width=950&amp;height=800&amp;_dd2=%26f%3Dsld%26c%3Dtrue%26os%3D129916%26oe%3D129922" TargetMode="External"/><Relationship Id="rId95" Type="http://schemas.openxmlformats.org/officeDocument/2006/relationships/hyperlink" Target="fdsup://factset/Doc%20Viewer%20Single?float_window=true&amp;positioning_strategy=center_on_screen&amp;_doc_docfn=U2FsdGVkX1/mntIT+yzBajQDiuADz57fXi3xjVxhXPlT8UG7mxfQAHSNCT9Y9h6bGlsQtEQxMWQ4zYWstfvJW7toWJUjLnYIt5JblOmvDCE=&amp;_app_id=central_doc_viewer&amp;center_on_screen=true&amp;width=950&amp;height=800&amp;_dd2=%26f%3Dsld%26c%3Dtrue%26os%3D122479%26oe%3D122484" TargetMode="External"/><Relationship Id="rId160" Type="http://schemas.openxmlformats.org/officeDocument/2006/relationships/hyperlink" Target="fdsup://factset/Doc%20Viewer%20Single?float_window=true&amp;positioning_strategy=center_on_screen&amp;_doc_docfn=U2FsdGVkX18hu5S3JlORekqIHMIrnU7yW9877cB8eUOTjeUmDZ6KuBfLlv3ulixOa15oWp6/ht2YEUqWNstUAddYF6NZW4GkCqs7nk6/7rk=&amp;_app_id=central_doc_viewer&amp;center_on_screen=true&amp;width=950&amp;height=800&amp;_dd2=%26f%3Dsld%26c%3Dtrue%26os%3D131878%26oe%3D131883" TargetMode="External"/><Relationship Id="rId165" Type="http://schemas.openxmlformats.org/officeDocument/2006/relationships/hyperlink" Target="fdsup://factset/Doc%20Viewer%20Single?float_window=true&amp;positioning_strategy=center_on_screen&amp;_doc_docfn=U2FsdGVkX19pkLlzTDh4uX7ngpHSB53wEg1C8YbSiWzvCsWJ0ItewyT5BhSKimdTuQkGsAJ4PR2q71kHygrgYaQNJl78W7KySuAeIakD22Y=&amp;_app_id=central_doc_viewer&amp;center_on_screen=true&amp;width=950&amp;height=800&amp;_dd2=%26f%3Dsld%26c%3Dtrue%26os%3D64892%26oe%3D64898" TargetMode="External"/><Relationship Id="rId181" Type="http://schemas.openxmlformats.org/officeDocument/2006/relationships/hyperlink" Target="fdsup://factset/Doc%20Viewer%20Single?float_window=true&amp;positioning_strategy=center_on_screen&amp;_doc_docfn=U2FsdGVkX19UpUwaYzuBRgsAqukFgZzjBgRG7fS6ndAzjfbwQj0YB7677fOfqKcVRxeSZ+MaIVWi+5yWZWnWQG2zfZPLNh2lqeQqgPZAaYE=&amp;_app_id=central_doc_viewer&amp;center_on_screen=true&amp;width=950&amp;height=800&amp;_dd2=%26f%3Dsld%26c%3Dtrue%26os%3D138511%26oe%3D138516" TargetMode="External"/><Relationship Id="rId186" Type="http://schemas.openxmlformats.org/officeDocument/2006/relationships/hyperlink" Target="fdsup://factset/Doc%20Viewer%20Single?float_window=true&amp;positioning_strategy=center_on_screen&amp;_doc_docfn=U2FsdGVkX18TJbotSt+AUqgWDfBd4WWwZZagRlqdVyQuwPxnGGKaFTLz9E+/2eyXKCAacMPy4Rhj5WKb2jgmoYbTpqWMj3RrpREA+Fynz34=&amp;_app_id=central_doc_viewer&amp;center_on_screen=true&amp;width=950&amp;height=800&amp;_dd2=%26f%3Dsld%26c%3Dtrue%26os%3D130303%26oe%3D130308" TargetMode="External"/><Relationship Id="rId211" Type="http://schemas.openxmlformats.org/officeDocument/2006/relationships/hyperlink" Target="fdsup://factset/Doc%20Viewer%20Single?float_window=true&amp;positioning_strategy=center_on_screen&amp;_doc_docfn=U2FsdGVkX189at9mRlHnkIToLWM4yGcx7YSEulWxYO0oQYTxsraI6vNORKTme5BLIxcPcyYcFxyFNGzThPY9BbOrM6I0vf4LZrTtuqZOr5I=&amp;_app_id=central_doc_viewer&amp;center_on_screen=true&amp;width=950&amp;height=800&amp;_dd2=%26f%3Dsld%26c%3Dtrue%26os%3D141645%26oe%3D141648" TargetMode="External"/><Relationship Id="rId22" Type="http://schemas.openxmlformats.org/officeDocument/2006/relationships/hyperlink" Target="fdsup://factset/Doc%20Viewer%20Single?float_window=true&amp;positioning_strategy=center_on_screen&amp;_doc_docfn=U2FsdGVkX1+AigkAzL6EFvlhvLn3C79mWydD92Su6zfLDMoN17GNqu23BPdkoUU/EHM7kM8DAcLWZT+QwCmW4ePys4hi+9gEw2UqsoKCCzM=&amp;_app_id=central_doc_viewer&amp;center_on_screen=true&amp;width=950&amp;height=800&amp;_dd2=%26f%3Dsld%26c%3Dtrue%26os%3D54824%26oe%3D54830" TargetMode="External"/><Relationship Id="rId27" Type="http://schemas.openxmlformats.org/officeDocument/2006/relationships/hyperlink" Target="fdsup://factset/Doc%20Viewer%20Single?float_window=true&amp;positioning_strategy=center_on_screen&amp;_doc_docfn=U2FsdGVkX19xQ8bNtjjLszl93/LRC6KQIdEaJd7M72TIu52sPid4jIYYCrjitw6MMha7kOVZztNyNvha+WMHPr4dsd+fEryvvPfD163x4Zo=&amp;_app_id=central_doc_viewer&amp;center_on_screen=true&amp;width=950&amp;height=800&amp;_dd2=%26f%3Dsld%26c%3Dtrue%26os%3D149694%26oe%3D149700" TargetMode="External"/><Relationship Id="rId43" Type="http://schemas.openxmlformats.org/officeDocument/2006/relationships/hyperlink" Target="fdsup://factset/Doc%20Viewer%20Single?float_window=true&amp;positioning_strategy=center_on_screen&amp;_doc_docfn=U2FsdGVkX185JFhQCKY0nbKbUiYH5Tgv7LWR8MHL4ZHRgeaFlyxKaRL8isYb/wY5N+6U6aHl4hw8TQ6p9mHu9yrnD6uDDib3PeXpI8m7w+k=&amp;_app_id=central_doc_viewer&amp;center_on_screen=true&amp;width=950&amp;height=800&amp;_dd2=%26f%3Dsld%26c%3Dtrue%26os%3D52661%26oe%3D52666" TargetMode="External"/><Relationship Id="rId48" Type="http://schemas.openxmlformats.org/officeDocument/2006/relationships/hyperlink" Target="fdsup://factset/Doc%20Viewer%20Single?float_window=true&amp;positioning_strategy=center_on_screen&amp;_doc_docfn=U2FsdGVkX1/FTEfA/d4tM+Xmt6nLDPRhh/LeobIechglwTneoKwxjsW08sGuFJRMQFIihvUWBzK2IblWN/fBeopLh/6Viavf/uKMHHY7A1s=&amp;_app_id=central_doc_viewer&amp;center_on_screen=true&amp;width=950&amp;height=800&amp;_dd2=%26f%3Dsld%26c%3Dtrue%26os%3D121220%26oe%3D121225" TargetMode="External"/><Relationship Id="rId64" Type="http://schemas.openxmlformats.org/officeDocument/2006/relationships/hyperlink" Target="fdsup://factset/Doc%20Viewer%20Single?float_window=true&amp;positioning_strategy=center_on_screen&amp;_doc_docfn=U2FsdGVkX1/YjPOT7Q4YGa+JDJ+NcmpY5wLGQ4J1uf40/Z5WXGADi+6PipuPfqWFQQYjfPwMHqI06uE7ZAziNF3uCV+stw+tSU9yshy270c=&amp;_app_id=central_doc_viewer&amp;center_on_screen=true&amp;width=950&amp;height=800&amp;_dd2=%26f%3Dsld%26c%3Dtrue%26os%3D55964%26oe%3D55971" TargetMode="External"/><Relationship Id="rId69" Type="http://schemas.openxmlformats.org/officeDocument/2006/relationships/hyperlink" Target="fdsup://factset/Doc%20Viewer%20Single?float_window=true&amp;positioning_strategy=center_on_screen&amp;_doc_docfn=U2FsdGVkX19+zYux2u+4kNYWjKum7MFK4e6TRoFWx52PdNw3duoVCdw/SDXYdNzIoq3xgD0b9NUV3+mK2v7vlrrbNbzsfa/hXH/3KTVfpPM=&amp;_app_id=central_doc_viewer&amp;center_on_screen=true&amp;width=950&amp;height=800&amp;_dd2=%26f%3Dsld%26c%3Dtrue%26os%3D124412%26oe%3D124419" TargetMode="External"/><Relationship Id="rId113" Type="http://schemas.openxmlformats.org/officeDocument/2006/relationships/hyperlink" Target="fdsup://factset/Doc%20Viewer%20Single?float_window=true&amp;positioning_strategy=center_on_screen&amp;_doc_docfn=U2FsdGVkX1+O4ElbjEwc5jvZdXUAZ3dX/QB0TRsc8WjZHzi4inC4wppDWKhboJBIixiSIbdJOsuANHI3oxwdCeXlWO7IUP1FKL11l5vnILU=&amp;_app_id=central_doc_viewer&amp;center_on_screen=true&amp;width=950&amp;height=800&amp;_dd2=%26f%3Dsld%26c%3Dtrue%26os%3D59244%26oe%3D59251" TargetMode="External"/><Relationship Id="rId118" Type="http://schemas.openxmlformats.org/officeDocument/2006/relationships/hyperlink" Target="fdsup://factset/Doc%20Viewer%20Single?float_window=true&amp;positioning_strategy=center_on_screen&amp;_doc_docfn=U2FsdGVkX18ap8fVzU8aBstyJ2hdYiuJZ82sPusI58HorMhqQnmvAEqT1PY5mg15CI+V9QZjmABnvjIg/Bafyongao0Ciq4rZrCzbSn//1k=&amp;_app_id=central_doc_viewer&amp;center_on_screen=true&amp;width=950&amp;height=800&amp;_dd2=%26f%3Dsld%26c%3Dtrue%26os%3D127353%26oe%3D127360" TargetMode="External"/><Relationship Id="rId134" Type="http://schemas.openxmlformats.org/officeDocument/2006/relationships/hyperlink" Target="fdsup://factset/Doc%20Viewer%20Single?float_window=true&amp;positioning_strategy=center_on_screen&amp;_doc_docfn=U2FsdGVkX1+cgPK2xg4Z0vX9Ki+Or5JIOgkw3Ohcv/ZM4XCHFkc8KEIT8TrsgLiPJ4TWm5W0QHX5kpaUGA1ckWOmpS2vcUo6cCRz2+9nQDU=&amp;_app_id=central_doc_viewer&amp;center_on_screen=true&amp;width=950&amp;height=800&amp;_dd2=%26f%3Dsld%26c%3Dtrue%26os%3D61038%26oe%3D61045" TargetMode="External"/><Relationship Id="rId139" Type="http://schemas.openxmlformats.org/officeDocument/2006/relationships/hyperlink" Target="fdsup://factset/Doc%20Viewer%20Single?float_window=true&amp;positioning_strategy=center_on_screen&amp;_doc_docfn=U2FsdGVkX1+eU9nLKN5XlzuHCMj1Y/eHB/sw0iU/Vjnq9ACfIPeeDQzeMI3Nutpnb6EXh+o1/YOrGTjUsqDS4e6ssFO5z3DV7RcUygU0vZ0=&amp;_app_id=central_doc_viewer&amp;center_on_screen=true&amp;width=950&amp;height=800&amp;_dd2=%26f%3Dsld%26c%3Dtrue%26os%3D128990%26oe%3D128997" TargetMode="External"/><Relationship Id="rId80" Type="http://schemas.openxmlformats.org/officeDocument/2006/relationships/hyperlink" Target="fdsup://factset/Doc%20Viewer%20Single?float_window=true&amp;positioning_strategy=center_on_screen&amp;_doc_docfn=U2FsdGVkX18ZfhCbj2VMO6qrlPQsuww2pTcbCWgdMNpOZOKCenIwiuzTiRYG7N6GMCFXv6w0wXhgKXUwCrVsH06QNP2bY2p8YfyB21UVL7Y=&amp;_app_id=central_doc_viewer&amp;center_on_screen=true&amp;width=950&amp;height=800&amp;_dd2=%26f%3Dsld%26c%3Dtrue%26os%3D129165%26oe%3D129171" TargetMode="External"/><Relationship Id="rId85" Type="http://schemas.openxmlformats.org/officeDocument/2006/relationships/hyperlink" Target="fdsup://factset/Doc%20Viewer%20Single?float_window=true&amp;positioning_strategy=center_on_screen&amp;_doc_docfn=U2FsdGVkX18iUoPYWJc+i1dtHt9pXtgNURwreXjNPYoZtO/VU7dPKeBTYPB0wGM3uNPYycyQi8LrzvffQB9Lsr9ioeo2VVtSHzb5F+6+Vpc=&amp;_app_id=central_doc_viewer&amp;center_on_screen=true&amp;width=950&amp;height=800&amp;_dd2=%26f%3Dsld%26c%3Dtrue%26os%3D121744%26oe%3D121750" TargetMode="External"/><Relationship Id="rId150" Type="http://schemas.openxmlformats.org/officeDocument/2006/relationships/hyperlink" Target="fdsup://factset/Doc%20Viewer%20Single?float_window=true&amp;positioning_strategy=center_on_screen&amp;_doc_docfn=U2FsdGVkX18eT+aVIzRj3+xhQriIa7ptQ3fj+wRcx5FmQHGzMQmCXBUudCHVvudSWrI2HNgc3NHCDsYk8RqBc9MW6HxW6L/ZlcVj6haTOFQ=&amp;_app_id=central_doc_viewer&amp;center_on_screen=true&amp;width=950&amp;height=800&amp;_dd2=%26f%3Dsld%26c%3Dtrue%26os%3D131134%26oe%3D131140" TargetMode="External"/><Relationship Id="rId155" Type="http://schemas.openxmlformats.org/officeDocument/2006/relationships/hyperlink" Target="fdsup://factset/Doc%20Viewer%20Single?float_window=true&amp;positioning_strategy=center_on_screen&amp;_doc_docfn=U2FsdGVkX18+fViXcc87tuYRG0ch5bXgs8CIcMBDSvsEArzqRycK3WxvfynYaWwjOb0LhZE8q08TN1ZME2ekyM17smneb1Hmeoxzt9DjQbo=&amp;_app_id=central_doc_viewer&amp;center_on_screen=true&amp;width=950&amp;height=800&amp;_dd2=%26f%3Dsld%26c%3Dtrue%26os%3D64036%26oe%3D64041" TargetMode="External"/><Relationship Id="rId171" Type="http://schemas.openxmlformats.org/officeDocument/2006/relationships/hyperlink" Target="fdsup://factset/Doc%20Viewer%20Single?float_window=true&amp;positioning_strategy=center_on_screen&amp;_doc_docfn=U2FsdGVkX1++5S4E/Kfnfo4p5V9uW0j2i3T/U31/7QcUywLfs8c09gx1WGrOJmJXkHaef7L1VsrCu1r/kQU9UtE9CAMbsjeZMkPG0TFd5EQ=&amp;_app_id=central_doc_viewer&amp;center_on_screen=true&amp;width=950&amp;height=800&amp;_dd2=%26f%3Dsld%26c%3Dtrue%26os%3D137446%26oe%3D137452" TargetMode="External"/><Relationship Id="rId176" Type="http://schemas.openxmlformats.org/officeDocument/2006/relationships/hyperlink" Target="fdsup://factset/Doc%20Viewer%20Single?float_window=true&amp;positioning_strategy=center_on_screen&amp;_doc_docfn=U2FsdGVkX197SMv9my5TWMnM+hY1pnrCHhX1Sfd1OmjYBsuesXHXqelmBHl8CLstX7QSTJEQGUrTX/utr4WlOdaz7aiEgJs27MxS2+eGFak=&amp;_app_id=central_doc_viewer&amp;center_on_screen=true&amp;width=950&amp;height=800&amp;_dd2=%26f%3Dsld%26c%3Dtrue%26os%3D129594%26oe%3D129599" TargetMode="External"/><Relationship Id="rId192" Type="http://schemas.openxmlformats.org/officeDocument/2006/relationships/hyperlink" Target="fdsup://factset/Doc%20Viewer%20Single?float_window=true&amp;positioning_strategy=center_on_screen&amp;_doc_docfn=U2FsdGVkX1/YyiulRuNxubQfHrH1qXxjbseIpFv+vc+a4ntCMB3VDqV2EKvB9ilm/LADauyq3KriRQfIq3c2gOB4Jmci9EmAyCD9qZjmrho=&amp;_app_id=central_doc_viewer&amp;center_on_screen=true&amp;width=950&amp;height=800&amp;_dd2=%26f%3Dsld%26c%3Dtrue%26os%3D68598%26oe%3D68601" TargetMode="External"/><Relationship Id="rId197" Type="http://schemas.openxmlformats.org/officeDocument/2006/relationships/hyperlink" Target="fdsup://factset/Doc%20Viewer%20Single?float_window=true&amp;positioning_strategy=center_on_screen&amp;_doc_docfn=U2FsdGVkX1824Mhbii/zmwXQaqsTOT0ivlVJSc6r8CS8PmwApV9GLyUX2nfNhGILN2epxEGu9j8s4gOw1Buv7/4nqy9+eCahGMX2EgGibKc=&amp;_app_id=central_doc_viewer&amp;center_on_screen=true&amp;width=950&amp;height=800&amp;_dd2=%26f%3Dsld%26c%3Dtrue%26os%3D211583%26oe%3D211586" TargetMode="External"/><Relationship Id="rId206" Type="http://schemas.openxmlformats.org/officeDocument/2006/relationships/hyperlink" Target="fdsup://factset/Doc%20Viewer%20Single?float_window=true&amp;positioning_strategy=center_on_screen&amp;_doc_docfn=U2FsdGVkX18j1KL96ekctSKGwlvpz7pVuQdSQmnXuk62fUNPhXrm3+UoMk44Rrb8CIcN7licvOZEu5IMHt3b/XokAklOSV88zZcO4mzzTEQ=&amp;_app_id=central_doc_viewer&amp;center_on_screen=true&amp;width=950&amp;height=800&amp;_dd2=%26f%3Dsld%26c%3Dtrue%26os%3D132730%26oe%3D132733" TargetMode="External"/><Relationship Id="rId201" Type="http://schemas.openxmlformats.org/officeDocument/2006/relationships/hyperlink" Target="fdsup://factset/Doc%20Viewer%20Single?float_window=true&amp;positioning_strategy=center_on_screen&amp;_doc_docfn=U2FsdGVkX1/yuQrHtzr1ApW+vA8GaJgLD2tuIlQT5bMEhtdXqI5whHP5xqO5V8oBCHLc1Ug0wSdi5NmArw0+IyR5AlstsFCBeILTjPigPX8=&amp;_app_id=central_doc_viewer&amp;center_on_screen=true&amp;width=950&amp;height=800&amp;_dd2=%26f%3Dsld%26c%3Dtrue%26os%3D140003%26oe%3D140006" TargetMode="External"/><Relationship Id="rId12" Type="http://schemas.openxmlformats.org/officeDocument/2006/relationships/hyperlink" Target="fdsup://factset/Doc%20Viewer%20Single?float_window=true&amp;positioning_strategy=center_on_screen&amp;_doc_docfn=U2FsdGVkX19qhJ6+TAmd37U5BS1kK3ECleLUAbiGNCNzwxfTGQ8ctWxaXSVn/E5XyzwhYfJvP/hoPv+6pDbvBwhxaatWhgR1QMedPGqap0Q=&amp;_app_id=central_doc_viewer&amp;center_on_screen=true&amp;width=950&amp;height=800&amp;_dd2=%26f%3Dsld%26c%3Dtrue%26os%3D54069%26oe%3D54076" TargetMode="External"/><Relationship Id="rId17" Type="http://schemas.openxmlformats.org/officeDocument/2006/relationships/hyperlink" Target="fdsup://factset/Doc%20Viewer%20Single?float_window=true&amp;positioning_strategy=center_on_screen&amp;_doc_docfn=U2FsdGVkX1/YWTr65KgsyNIE8YGJqq2L4yOdyWYaiqZscjU9Rbi9Rp1kghX2tc0sUWXE+5is9AlnrZmXxBtqZslYybJc1uae2iGU52YJyQo=&amp;_app_id=central_doc_viewer&amp;center_on_screen=true&amp;width=950&amp;height=800&amp;_dd2=%26f%3Dsld%26c%3Dtrue%26os%3D132735%26oe%3D132742" TargetMode="External"/><Relationship Id="rId33" Type="http://schemas.openxmlformats.org/officeDocument/2006/relationships/hyperlink" Target="fdsup://factset/Doc%20Viewer%20Single?float_window=true&amp;positioning_strategy=center_on_screen&amp;_doc_docfn=U2FsdGVkX189Zf/bDDrR+alZpzdjVn2ZcyoQW2p5GfNsP0kaKwv1qSXTv1W437jlbktbuJZpr6n+WWVqlOmVpFa31oalbA4qLPRJYh635vU=&amp;_app_id=central_doc_viewer&amp;center_on_screen=true&amp;width=950&amp;height=800&amp;_dd2=%26f%3Dsld%26c%3Dtrue%26os%3D51870%26oe%3D51876" TargetMode="External"/><Relationship Id="rId38" Type="http://schemas.openxmlformats.org/officeDocument/2006/relationships/hyperlink" Target="fdsup://factset/Doc%20Viewer%20Single?float_window=true&amp;positioning_strategy=center_on_screen&amp;_doc_docfn=U2FsdGVkX18uVKAABc+O1zafg8C8d66r1g205JFxPewfv3jnZ1B29jBjz3CPUcbU0nRX/2MrASfefiBf6bMDOY8nA0XHKeDaTp36vmkbnbo=&amp;_app_id=central_doc_viewer&amp;center_on_screen=true&amp;width=950&amp;height=800&amp;_dd2=%26f%3Dsld%26c%3Dtrue%26os%3D138560%26oe%3D138566" TargetMode="External"/><Relationship Id="rId59" Type="http://schemas.openxmlformats.org/officeDocument/2006/relationships/hyperlink" Target="fdsup://factset/Doc%20Viewer%20Single?float_window=true&amp;positioning_strategy=center_on_screen&amp;_doc_docfn=U2FsdGVkX18sK0urkG4q99Yvw3PnZII/fcNnhrb4ccAWYoiP2IOe/sSe7Y8rBqwNAE6+ilbp+U6K5jAe5QrrZYlWlQV+hTKlOogkW6HMrN0=&amp;_app_id=central_doc_viewer&amp;center_on_screen=true&amp;width=950&amp;height=800&amp;_dd2=%26f%3Dsld%26c%3Dtrue%26os%3D127394%26oe%3D127401" TargetMode="External"/><Relationship Id="rId103" Type="http://schemas.openxmlformats.org/officeDocument/2006/relationships/hyperlink" Target="fdsup://factset/Doc%20Viewer%20Single?float_window=true&amp;positioning_strategy=center_on_screen&amp;_doc_docfn=U2FsdGVkX1+b8XqlsqOU9m5gve3LydLWq35qs+vaNibzql8vVfL5ACEMF0RU64a9d8I6IPcW6mf3OnkZK9BtfjUVNzcInEqUmrO8evMBk3U=&amp;_app_id=central_doc_viewer&amp;center_on_screen=true&amp;width=950&amp;height=800&amp;_dd2=%26f%3Dsld%26c%3Dtrue%26os%3D58492%26oe%3D58498" TargetMode="External"/><Relationship Id="rId108" Type="http://schemas.openxmlformats.org/officeDocument/2006/relationships/hyperlink" Target="fdsup://factset/Doc%20Viewer%20Single?float_window=true&amp;positioning_strategy=center_on_screen&amp;_doc_docfn=U2FsdGVkX1/Pqes/63tmHnMhOEGatFWgy3e8KEe7+fMKve3O2XQuCzw1+vdbpAdjkGSfSdJiVNYxLETbbgvFob/3GrQtEzwEnQAmq9B+dH8=&amp;_app_id=central_doc_viewer&amp;center_on_screen=true&amp;width=950&amp;height=800&amp;_dd2=%26f%3Dsld%26c%3Dtrue%26os%3D126657%26oe%3D126663" TargetMode="External"/><Relationship Id="rId124" Type="http://schemas.openxmlformats.org/officeDocument/2006/relationships/hyperlink" Target="fdsup://factset/Doc%20Viewer%20Single?float_window=true&amp;positioning_strategy=center_on_screen&amp;_doc_docfn=U2FsdGVkX198xrpxAfW0JCBJkA5KDJOerpfpk54lUmeaUqAXOA/0olZke8yph9nfvIGnOtBh3lRt8xmBPyS9UTAWe7CjM6APJdm7I5oZWDg=&amp;_app_id=central_doc_viewer&amp;center_on_screen=true&amp;width=950&amp;height=800&amp;_dd2=%26f%3Dsld%26c%3Dtrue%26os%3D60092%26oe%3D60098" TargetMode="External"/><Relationship Id="rId129" Type="http://schemas.openxmlformats.org/officeDocument/2006/relationships/hyperlink" Target="fdsup://factset/Doc%20Viewer%20Single?float_window=true&amp;positioning_strategy=center_on_screen&amp;_doc_docfn=U2FsdGVkX186K9vDtMBsl5axEorllV1d0egD0qvvj3zp3+VHtl2wcA+8GwTWJibgYOvxgl2Pipm6i/+z97nbpS7BMIg9ZsocogtlbMFfjyk=&amp;_app_id=central_doc_viewer&amp;center_on_screen=true&amp;width=950&amp;height=800&amp;_dd2=%26f%3Dsld%26c%3Dtrue%26os%3D128132%26oe%3D128138" TargetMode="External"/><Relationship Id="rId54" Type="http://schemas.openxmlformats.org/officeDocument/2006/relationships/hyperlink" Target="fdsup://factset/Doc%20Viewer%20Single?float_window=true&amp;positioning_strategy=center_on_screen&amp;_doc_docfn=U2FsdGVkX1/bwb4tOMzONlUWKv8GKiX47S2YP9yE6EJ/oaypJ3NMwfHoBq6y/xQMrlUn9YAsG6uljRUJ5mAxcGQlfHk8mp7VoT+WXl4wPTM=&amp;_app_id=central_doc_viewer&amp;center_on_screen=true&amp;width=950&amp;height=800&amp;_dd2=%26f%3Dsld%26c%3Dtrue%26os%3D59170%26oe%3D59177" TargetMode="External"/><Relationship Id="rId70" Type="http://schemas.openxmlformats.org/officeDocument/2006/relationships/hyperlink" Target="fdsup://factset/Doc%20Viewer%20Single?float_window=true&amp;positioning_strategy=center_on_screen&amp;_doc_docfn=U2FsdGVkX19cKMI2t6jScPFNYiP4shl03xCEQ8nzYKEb4QR+3Co1J3x0mbFqxudj/1rqJEM+RWTgP5msEYb3bGCmccw8u7l0b9kAWALBN+I=&amp;_app_id=central_doc_viewer&amp;center_on_screen=true&amp;width=950&amp;height=800&amp;_dd2=%26f%3Dsld%26c%3Dtrue%26os%3D128399%26oe%3D128406" TargetMode="External"/><Relationship Id="rId75" Type="http://schemas.openxmlformats.org/officeDocument/2006/relationships/hyperlink" Target="fdsup://factset/Doc%20Viewer%20Single?float_window=true&amp;positioning_strategy=center_on_screen&amp;_doc_docfn=U2FsdGVkX1+lByHbyY01xVsX69PmrevZmoZJnpcgQej35dsG5jflbwcLvxpIXHbFqYAUeVXxTZqBKMKgGrx3mWwmlBKCNxQiwRZsw1YGADw=&amp;_app_id=central_doc_viewer&amp;center_on_screen=true&amp;width=950&amp;height=800&amp;_dd2=%26f%3Dsld%26c%3Dtrue%26os%3D120993%26oe%3D120999" TargetMode="External"/><Relationship Id="rId91" Type="http://schemas.openxmlformats.org/officeDocument/2006/relationships/hyperlink" Target="fdsup://factset/Doc%20Viewer%20Single?float_window=true&amp;positioning_strategy=center_on_screen&amp;_doc_docfn=U2FsdGVkX19uS2dgdQ+VVAEradumBi0kdR2z0zpUy+4bXMePXFV+gxMqHGMhuGr5X8A5/t0GfbKXyBftPTTTEQZptWtxWaeHBcPDkVXvUgI=&amp;_app_id=central_doc_viewer&amp;center_on_screen=true&amp;width=950&amp;height=800&amp;_dd2=%26f%3Dsld%26c%3Dtrue%26os%3D59377%26oe%3D59382" TargetMode="External"/><Relationship Id="rId96" Type="http://schemas.openxmlformats.org/officeDocument/2006/relationships/hyperlink" Target="fdsup://factset/Doc%20Viewer%20Single?float_window=true&amp;positioning_strategy=center_on_screen&amp;_doc_docfn=U2FsdGVkX18MuK/evPQoVKJWqtLqZi8ZpLA+2xshTsOIzqMiRtqRNhwnhCP/IuMy/wpobJpzDsFtQJJwF96Oam+zoaXCigFDIo/k4JrBiDI=&amp;_app_id=central_doc_viewer&amp;center_on_screen=true&amp;width=950&amp;height=800&amp;_dd2=%26f%3Dsld%26c%3Dtrue%26os%3D202976%26oe%3D202981" TargetMode="External"/><Relationship Id="rId140" Type="http://schemas.openxmlformats.org/officeDocument/2006/relationships/hyperlink" Target="fdsup://factset/Doc%20Viewer%20Single?float_window=true&amp;positioning_strategy=center_on_screen&amp;_doc_docfn=U2FsdGVkX1+SpBbguQclZ7atTHiCaEziSPOXYiKIz+23owr9aX/4vohQp1413pEztqduXX6qlIYk0KJ2JR8u1XeuWUBW43yH7Ez3l817rjE=&amp;_app_id=central_doc_viewer&amp;center_on_screen=true&amp;width=950&amp;height=800&amp;_dd2=%26f%3Dsld%26c%3Dtrue%26os%3D130436%26oe%3D130443" TargetMode="External"/><Relationship Id="rId145" Type="http://schemas.openxmlformats.org/officeDocument/2006/relationships/hyperlink" Target="fdsup://factset/Doc%20Viewer%20Single?float_window=true&amp;positioning_strategy=center_on_screen&amp;_doc_docfn=U2FsdGVkX18GXua3X6617cN+ArfRREKzPQYJvcS4yjcRHm421vOOkS2hTJr7bkAH/fMZezjPQKgvm0NHwROuTu6Pf0+RSUuoXB95rVBE6vU=&amp;_app_id=central_doc_viewer&amp;center_on_screen=true&amp;width=950&amp;height=800&amp;_dd2=%26f%3Dsld%26c%3Dtrue%26os%3D63238%26oe%3D63244" TargetMode="External"/><Relationship Id="rId161" Type="http://schemas.openxmlformats.org/officeDocument/2006/relationships/hyperlink" Target="fdsup://factset/Doc%20Viewer%20Single?float_window=true&amp;positioning_strategy=center_on_screen&amp;_doc_docfn=U2FsdGVkX19rotgyHW/N7EC+9KBWmOx2BR43mcYA7UjuDMHl8/nGNQ3mD/glmmBbqa7izCOFXT8v4MNT6wSSHxHso8E8l76uBn8U7kY6Ay0=&amp;_app_id=central_doc_viewer&amp;center_on_screen=true&amp;width=950&amp;height=800&amp;_dd2=%26f%3Dsld%26c%3Dtrue%26os%3D136644%26oe%3D136649" TargetMode="External"/><Relationship Id="rId166" Type="http://schemas.openxmlformats.org/officeDocument/2006/relationships/hyperlink" Target="fdsup://factset/Doc%20Viewer%20Single?float_window=true&amp;positioning_strategy=center_on_screen&amp;_doc_docfn=U2FsdGVkX19DJm/LdvRtAQDjOPuXy/i9ge4Gv7jAtJKfCeaiile1+DgfVK1WFXFyzwtL7bwu+wYa0danujdMhhHgUWyKhLCLIvzkp5zUKcg=&amp;_app_id=central_doc_viewer&amp;center_on_screen=true&amp;width=950&amp;height=800&amp;_dd2=%26f%3Dsld%26c%3Dtrue%26os%3D128529%26oe%3D128535" TargetMode="External"/><Relationship Id="rId182" Type="http://schemas.openxmlformats.org/officeDocument/2006/relationships/hyperlink" Target="fdsup://factset/Doc%20Viewer%20Single?float_window=true&amp;positioning_strategy=center_on_screen&amp;_doc_docfn=U2FsdGVkX19b04dgXB/AMfbUj1F1k5y2W7quvms/bnosL34he3rkCj2rAUwIsOsRXxkg3xqOZD7OcEYhSNNNEJiheSJfCzesoyD4BPSRDRc=&amp;_app_id=central_doc_viewer&amp;center_on_screen=true&amp;width=950&amp;height=800&amp;_dd2=%26f%3Dsld%26c%3Dtrue%26os%3D67760%26oe%3D67764" TargetMode="External"/><Relationship Id="rId187" Type="http://schemas.openxmlformats.org/officeDocument/2006/relationships/hyperlink" Target="fdsup://factset/Doc%20Viewer%20Single?float_window=true&amp;positioning_strategy=center_on_screen&amp;_doc_docfn=U2FsdGVkX18uEcVx5I9mOVsyq0YOEIS+6d4yLkoXxe0atkwaI+jr35bALl95SicoX7KnUUL156XIWp82EQeGuxiL1Il8DgCDR+ZzUTVLmOw=&amp;_app_id=central_doc_viewer&amp;center_on_screen=true&amp;width=950&amp;height=800&amp;_dd2=%26f%3Dsld%26c%3Dtrue%26os%3D210800%26oe%3D210805" TargetMode="External"/><Relationship Id="rId1" Type="http://schemas.openxmlformats.org/officeDocument/2006/relationships/hyperlink" Target="fdsup://factset/Doc%20Viewer%20Single?float_window=true&amp;positioning_strategy=center_on_screen&amp;_doc_docfn=U2FsdGVkX18xvMsGqlSwPJiqbxqrIh0qDV6cAGyshM4VGVbSGNuuyjrp9cEqppZsIm18Zbm6i5RQJamhc6w2bfrX9wj7eSnmLQyKxuvtVMo=&amp;_app_id=central_doc_viewer&amp;center_on_screen=true&amp;width=950&amp;height=800&amp;_dd2=%26f%3Dsld%26c%3Dtrue%26os%3D55858%26oe%3D55865" TargetMode="External"/><Relationship Id="rId6" Type="http://schemas.openxmlformats.org/officeDocument/2006/relationships/hyperlink" Target="fdsup://factset/Doc%20Viewer%20Single?float_window=true&amp;positioning_strategy=center_on_screen&amp;_doc_docfn=U2FsdGVkX1+KuoBvbsYFQfuR9opOb52GoPrNPXYOM+Tcg9EZZYS4RYig/E535GrF0iYReRPuNnlfV21bWnuyWAYeg7vfty8Fs31GgPnb3k8=&amp;_app_id=central_doc_viewer&amp;center_on_screen=true&amp;width=950&amp;height=800&amp;_dd2=%26f%3Dsld%26c%3Dtrue%26os%3D199681%26oe%3D199688" TargetMode="External"/><Relationship Id="rId23" Type="http://schemas.openxmlformats.org/officeDocument/2006/relationships/hyperlink" Target="fdsup://factset/Doc%20Viewer%20Single?float_window=true&amp;positioning_strategy=center_on_screen&amp;_doc_docfn=U2FsdGVkX196jTW1+u2T/Xd4PZJaHKq05KBnccAplIiLGesVr4e144rpUBIdip8X0Rt2zLmT8TmSl7e3PVk5UIx6n4aiSpycFQtVoxZR6nk=&amp;_app_id=central_doc_viewer&amp;center_on_screen=true&amp;width=950&amp;height=800&amp;_dd2=%26f%3Dsld%26c%3Dtrue%26os%3D51115%26oe%3D51121" TargetMode="External"/><Relationship Id="rId28" Type="http://schemas.openxmlformats.org/officeDocument/2006/relationships/hyperlink" Target="fdsup://factset/Doc%20Viewer%20Single?float_window=true&amp;positioning_strategy=center_on_screen&amp;_doc_docfn=U2FsdGVkX1+f7XvyxvKeqAQ1NDlTqwNT7x943NPGWEbBKp6hbMJqlB5x4WUg3KCrmTgh/aVQy0WzxluKxuyYmQaoZ6b1+N5drivorXIXGSc=&amp;_app_id=central_doc_viewer&amp;center_on_screen=true&amp;width=950&amp;height=800&amp;_dd2=%26f%3Dsld%26c%3Dtrue%26os%3D137445%26oe%3D137451" TargetMode="External"/><Relationship Id="rId49" Type="http://schemas.openxmlformats.org/officeDocument/2006/relationships/hyperlink" Target="fdsup://factset/Doc%20Viewer%20Single?float_window=true&amp;positioning_strategy=center_on_screen&amp;_doc_docfn=U2FsdGVkX1+18OM2DSUXaHTBgALeT+jCyrzUO2v+CAi7niSVZ6ZmHZaTVZwcXgr5BXYj6TMTri5ncEN+g1xQC0IIovcPkIS4MscB9yjHOrA=&amp;_app_id=central_doc_viewer&amp;center_on_screen=true&amp;width=950&amp;height=800&amp;_dd2=%26f%3Dsld%26c%3Dtrue%26os%3D122666%26oe%3D122671" TargetMode="External"/><Relationship Id="rId114" Type="http://schemas.openxmlformats.org/officeDocument/2006/relationships/hyperlink" Target="fdsup://factset/Doc%20Viewer%20Single?float_window=true&amp;positioning_strategy=center_on_screen&amp;_doc_docfn=U2FsdGVkX1881dhOy3PA6KXTACSLVunQrsXHpzOKGpAYuKWwnjIPWck9b+RBdzPjecODxkUYTK2wo5tpbJukaOMWKnhgBGAp1e5TTVfPkrA=&amp;_app_id=central_doc_viewer&amp;center_on_screen=true&amp;width=950&amp;height=800&amp;_dd2=%26f%3Dsld%26c%3Dtrue%26os%3D60687%26oe%3D60694" TargetMode="External"/><Relationship Id="rId119" Type="http://schemas.openxmlformats.org/officeDocument/2006/relationships/hyperlink" Target="fdsup://factset/Doc%20Viewer%20Single?float_window=true&amp;positioning_strategy=center_on_screen&amp;_doc_docfn=U2FsdGVkX1+sLRa1KWKXzh+G/dNJxGo2VG8GqSchSLDtWRnkl2Rp6aeyU2L2MwGwkKpHQ0EKnkOBPfb3NkBe19C7wLGYvlNReTeNlJmrrUI=&amp;_app_id=central_doc_viewer&amp;center_on_screen=true&amp;width=950&amp;height=800&amp;_dd2=%26f%3Dsld%26c%3Dtrue%26os%3D128799%26oe%3D128806" TargetMode="External"/><Relationship Id="rId44" Type="http://schemas.openxmlformats.org/officeDocument/2006/relationships/hyperlink" Target="fdsup://factset/Doc%20Viewer%20Single?float_window=true&amp;positioning_strategy=center_on_screen&amp;_doc_docfn=U2FsdGVkX1/W2eOYhoWXLOWqZdJXhq/Vq0mGrPMZokAXQdxq/h1Bf3PHy9UVZ3/p7tAT0XlaK2TARx145YWrW+mfVDAVcRM1Q+jbhkoRmZA=&amp;_app_id=central_doc_viewer&amp;center_on_screen=true&amp;width=950&amp;height=800&amp;_dd2=%26f%3Dsld%26c%3Dtrue%26os%3D54068%26oe%3D54073" TargetMode="External"/><Relationship Id="rId60" Type="http://schemas.openxmlformats.org/officeDocument/2006/relationships/hyperlink" Target="fdsup://factset/Doc%20Viewer%20Single?float_window=true&amp;positioning_strategy=center_on_screen&amp;_doc_docfn=U2FsdGVkX1/cuAH1Gl+1RhQa1cs1YKKxhj6TZRuo8awTatfBLQtEdrBnpwHKwKPoglboZrEIFPzAvvm7uslBCtjRJzMYj580k4ehI5EjoJM=&amp;_app_id=central_doc_viewer&amp;center_on_screen=true&amp;width=950&amp;height=800&amp;_dd2=%26f%3Dsld%26c%3Dtrue%26os%3D131367%26oe%3D131374" TargetMode="External"/><Relationship Id="rId65" Type="http://schemas.openxmlformats.org/officeDocument/2006/relationships/hyperlink" Target="fdsup://factset/Doc%20Viewer%20Single?float_window=true&amp;positioning_strategy=center_on_screen&amp;_doc_docfn=U2FsdGVkX19WmK1SlZd4+lpRhdWYSVJ3jM7KmfG9tdc7Vin9aV0LUAj0i5h3T/sOnpGlVh8DCLXOfjrJl8yl/knMHwbzF82MEPYwTBXukZw=&amp;_app_id=central_doc_viewer&amp;center_on_screen=true&amp;width=950&amp;height=800&amp;_dd2=%26f%3Dsld%26c%3Dtrue%26os%3D120213%26oe%3D120220" TargetMode="External"/><Relationship Id="rId81" Type="http://schemas.openxmlformats.org/officeDocument/2006/relationships/hyperlink" Target="fdsup://factset/Doc%20Viewer%20Single?float_window=true&amp;positioning_strategy=center_on_screen&amp;_doc_docfn=U2FsdGVkX1+rcrPhHYfhpnv3KhSu04CpuNd/31daz2b6Rgfb9vYYlHoyqfIKLrjl87AFoAbdE8592y7KIbjFqfmtKZp9M5GS+6MlCWO4K0E=&amp;_app_id=central_doc_viewer&amp;center_on_screen=true&amp;width=950&amp;height=800&amp;_dd2=%26f%3Dsld%26c%3Dtrue%26os%3D58612%26oe%3D58618" TargetMode="External"/><Relationship Id="rId86" Type="http://schemas.openxmlformats.org/officeDocument/2006/relationships/hyperlink" Target="fdsup://factset/Doc%20Viewer%20Single?float_window=true&amp;positioning_strategy=center_on_screen&amp;_doc_docfn=U2FsdGVkX18Taoo1Ai4eu1jP77or7xXwwzXvTiIe3P4Hu9g2rA2clUE/9wS8PacdnxPNjDCTi9WprItFkPPpvNo5ImRtckyMbqV0flBKTqA=&amp;_app_id=central_doc_viewer&amp;center_on_screen=true&amp;width=950&amp;height=800&amp;_dd2=%26f%3Dsld%26c%3Dtrue%26os%3D202241%26oe%3D202247" TargetMode="External"/><Relationship Id="rId130" Type="http://schemas.openxmlformats.org/officeDocument/2006/relationships/hyperlink" Target="fdsup://factset/Doc%20Viewer%20Single?float_window=true&amp;positioning_strategy=center_on_screen&amp;_doc_docfn=U2FsdGVkX18FMpXwP89UOiBgUzYQTgf7bNpeyJ9TbU+4vzkQ53yCWgiCBSnN3/vg6pcqFVJgp2zhPM2QSFRebfKYKnQoRB4RLShod5RlPbs=&amp;_app_id=central_doc_viewer&amp;center_on_screen=true&amp;width=950&amp;height=800&amp;_dd2=%26f%3Dsld%26c%3Dtrue%26os%3D129578%26oe%3D129584" TargetMode="External"/><Relationship Id="rId135" Type="http://schemas.openxmlformats.org/officeDocument/2006/relationships/hyperlink" Target="fdsup://factset/Doc%20Viewer%20Single?float_window=true&amp;positioning_strategy=center_on_screen&amp;_doc_docfn=U2FsdGVkX18gKFh+wp2xxxFcPaQp7l3e/JoUf+oE7U1pSPHQqQEAjTgzgwxpOozHruvXDmSEj/dkhfwcFbvp88ly4kz+zKH6KLGr4+9ZfAM=&amp;_app_id=central_doc_viewer&amp;center_on_screen=true&amp;width=950&amp;height=800&amp;_dd2=%26f%3Dsld%26c%3Dtrue%26os%3D62484%26oe%3D62491" TargetMode="External"/><Relationship Id="rId151" Type="http://schemas.openxmlformats.org/officeDocument/2006/relationships/hyperlink" Target="fdsup://factset/Doc%20Viewer%20Single?float_window=true&amp;positioning_strategy=center_on_screen&amp;_doc_docfn=U2FsdGVkX1+1hRsOSKX7e0knoHP2I5DCSYzPD7/YL5J+/KN6gI19AiOl3z3tnemD71YAeimw4ZGgaESVlisNZNr3DtkU12N0+Hn+fqoU36s=&amp;_app_id=central_doc_viewer&amp;center_on_screen=true&amp;width=950&amp;height=800&amp;_dd2=%26f%3Dsld%26c%3Dtrue%26os%3D135900%26oe%3D135906" TargetMode="External"/><Relationship Id="rId156" Type="http://schemas.openxmlformats.org/officeDocument/2006/relationships/hyperlink" Target="fdsup://factset/Doc%20Viewer%20Single?float_window=true&amp;positioning_strategy=center_on_screen&amp;_doc_docfn=U2FsdGVkX18iQeQvu2JeKSgWWI4ln+F6yOgmS/EJ815sJKOla5VrUcJd4COdPnycVLRrPNvjOS+mFtMTT4uDkS+YoVLe9g6lzNsRvZWrIIM=&amp;_app_id=central_doc_viewer&amp;center_on_screen=true&amp;width=950&amp;height=800&amp;_dd2=%26f%3Dsld%26c%3Dtrue%26os%3D127727%26oe%3D127732" TargetMode="External"/><Relationship Id="rId177" Type="http://schemas.openxmlformats.org/officeDocument/2006/relationships/hyperlink" Target="fdsup://factset/Doc%20Viewer%20Single?float_window=true&amp;positioning_strategy=center_on_screen&amp;_doc_docfn=U2FsdGVkX18mG+rHs23B+9QnfSqn9lZLzb7rMlkkUmIiqeZoTRiUBo0CX5a8PCO6Jzk1uGkh7eAa6pR34DtQDqX+HXzYPAfkcRMlDta/I7c=&amp;_app_id=central_doc_viewer&amp;center_on_screen=true&amp;width=950&amp;height=800&amp;_dd2=%26f%3Dsld%26c%3Dtrue%26os%3D210091%26oe%3D210096" TargetMode="External"/><Relationship Id="rId198" Type="http://schemas.openxmlformats.org/officeDocument/2006/relationships/hyperlink" Target="fdsup://factset/Doc%20Viewer%20Single?float_window=true&amp;positioning_strategy=center_on_screen&amp;_doc_docfn=U2FsdGVkX1/cF2ESq6xY7iFX5fvW0cuFrmv6wO8mfmatDJIU1zjoWtzzh1wD8rRiWew78eFY6yBmydhpfqsRaRlxOVSE061env4xKSvFxic=&amp;_app_id=central_doc_viewer&amp;center_on_screen=true&amp;width=950&amp;height=800&amp;_dd2=%26f%3Dsld%26c%3Dtrue%26os%3D146038%26oe%3D146041" TargetMode="External"/><Relationship Id="rId172" Type="http://schemas.openxmlformats.org/officeDocument/2006/relationships/hyperlink" Target="fdsup://factset/Doc%20Viewer%20Single?float_window=true&amp;positioning_strategy=center_on_screen&amp;_doc_docfn=U2FsdGVkX1+i08gZQYXW/jGsfodQ180vMNVTkX62FsgrYFgc2bVyh8lkAljVS3VShlz0WJ7xf7Zk4x2mA4M0KHzaanbMv+EL+VQ379c51nk=&amp;_app_id=central_doc_viewer&amp;center_on_screen=true&amp;width=950&amp;height=800&amp;_dd2=%26f%3Dsld%26c%3Dtrue%26os%3D66995%26oe%3D66999" TargetMode="External"/><Relationship Id="rId193" Type="http://schemas.openxmlformats.org/officeDocument/2006/relationships/hyperlink" Target="fdsup://factset/Doc%20Viewer%20Single?float_window=true&amp;positioning_strategy=center_on_screen&amp;_doc_docfn=U2FsdGVkX1/kPYQMzp0i5KLPjedIo+QA04u6h5DtEtVjFzd3X7gcbDnfG5/rR5cJFuqq4lGOngDC62rrCaoKkTXh//l+VEvF9fT2VgNsqg4=&amp;_app_id=central_doc_viewer&amp;center_on_screen=true&amp;width=950&amp;height=800&amp;_dd2=%26f%3Dsld%26c%3Dtrue%26os%3D69883%26oe%3D69886" TargetMode="External"/><Relationship Id="rId202" Type="http://schemas.openxmlformats.org/officeDocument/2006/relationships/hyperlink" Target="fdsup://factset/Doc%20Viewer%20Single?float_window=true&amp;positioning_strategy=center_on_screen&amp;_doc_docfn=U2FsdGVkX1+7SadxvxT/nZUkDl3VHtwYvMxn/KDbmiZb9DtmP4VE5l0uokd2NWdhiYsp8iPfxhnbm2tzF13UBnnzDvqv2wbs84u1djzEbTY=&amp;_app_id=central_doc_viewer&amp;center_on_screen=true&amp;width=950&amp;height=800&amp;_dd2=%26f%3Dsld%26c%3Dtrue%26os%3D70357%26oe%3D70360" TargetMode="External"/><Relationship Id="rId207" Type="http://schemas.openxmlformats.org/officeDocument/2006/relationships/hyperlink" Target="fdsup://factset/Doc%20Viewer%20Single?float_window=true&amp;positioning_strategy=center_on_screen&amp;_doc_docfn=U2FsdGVkX191Z+gB0BXm6jsKLdGcdtES7F+pQqlQoGV3aicgKp7EDUnXgkf3SWIemRoDXj68LpFv9ahngNE8QYchMeuXLpb2qs+OmnNpjdk=&amp;_app_id=central_doc_viewer&amp;center_on_screen=true&amp;width=950&amp;height=800&amp;_dd2=%26f%3Dsld%26c%3Dtrue%26os%3D213227%26oe%3D213230" TargetMode="External"/><Relationship Id="rId13" Type="http://schemas.openxmlformats.org/officeDocument/2006/relationships/hyperlink" Target="fdsup://factset/Doc%20Viewer%20Single?float_window=true&amp;positioning_strategy=center_on_screen&amp;_doc_docfn=U2FsdGVkX1/5f6igE+ZAXi7tRspnt5UXhMTiJVIjLs4GWFUsOD5kujL/eCMuY0fXfMb2ulfZUZqr9HjwM7uFeGZC9x91ZW3b2Ie8TeltRg0=&amp;_app_id=central_doc_viewer&amp;center_on_screen=true&amp;width=950&amp;height=800&amp;_dd2=%26f%3Dsld%26c%3Dtrue%26os%3D50360%26oe%3D50367" TargetMode="External"/><Relationship Id="rId18" Type="http://schemas.openxmlformats.org/officeDocument/2006/relationships/hyperlink" Target="fdsup://factset/Doc%20Viewer%20Single?float_window=true&amp;positioning_strategy=center_on_screen&amp;_doc_docfn=U2FsdGVkX1+8TMFRpsS2Osoc/ZaI+W0T/t+wTts+EUP2E1XgkW17z5mD56YaJCwQCpPOw01TUOzM9ukCTSlEDPehsQqa+cvpGiLxGoZwxLQ=&amp;_app_id=central_doc_viewer&amp;center_on_screen=true&amp;width=950&amp;height=800&amp;_dd2=%26f%3Dsld%26c%3Dtrue%26os%3D120488%26oe%3D120495" TargetMode="External"/><Relationship Id="rId39" Type="http://schemas.openxmlformats.org/officeDocument/2006/relationships/hyperlink" Target="fdsup://factset/Doc%20Viewer%20Single?float_window=true&amp;positioning_strategy=center_on_screen&amp;_doc_docfn=U2FsdGVkX1+oCTlPKJPOG7VnC0zgst1K1tfXzjCkE1zW9M2ovJObb/HB6KRCo894DZhlj2KOff8mTmS004dtBAy6BsiFR+afzlOcnarjsrg=&amp;_app_id=central_doc_viewer&amp;center_on_screen=true&amp;width=950&amp;height=800&amp;_dd2=%26f%3Dsld%26c%3Dtrue%26os%3D140630%26oe%3D140636" TargetMode="External"/><Relationship Id="rId109" Type="http://schemas.openxmlformats.org/officeDocument/2006/relationships/hyperlink" Target="fdsup://factset/Doc%20Viewer%20Single?float_window=true&amp;positioning_strategy=center_on_screen&amp;_doc_docfn=U2FsdGVkX1+rQljNijh/Pwz8KzVk3Ex2u3HnM1uoEmC7sMBnx+8gSPiC7209qBEVYNFq7+juRoE5LXWjeVRLZAMn/UWB6SJTJ0JnZCtC5hU=&amp;_app_id=central_doc_viewer&amp;center_on_screen=true&amp;width=950&amp;height=800&amp;_dd2=%26f%3Dsld%26c%3Dtrue%26os%3D128103%26oe%3D128109" TargetMode="External"/><Relationship Id="rId34" Type="http://schemas.openxmlformats.org/officeDocument/2006/relationships/hyperlink" Target="fdsup://factset/Doc%20Viewer%20Single?float_window=true&amp;positioning_strategy=center_on_screen&amp;_doc_docfn=U2FsdGVkX1/8U8D+IKQf3f44LkvrT3RojhqW7jhhyNZc5yO+7fTLEU0sItJnMAeFqBbQanvZGmhDMMS5S8NF6c4IOsJoEzzQMeuI0hBPTtM=&amp;_app_id=central_doc_viewer&amp;center_on_screen=true&amp;width=950&amp;height=800&amp;_dd2=%26f%3Dsld%26c%3Dtrue%26os%3D53283%26oe%3D53289" TargetMode="External"/><Relationship Id="rId50" Type="http://schemas.openxmlformats.org/officeDocument/2006/relationships/hyperlink" Target="fdsup://factset/Doc%20Viewer%20Single?float_window=true&amp;positioning_strategy=center_on_screen&amp;_doc_docfn=U2FsdGVkX197kAbYNyn2Gy31RfuoBsjRy5qEzRpG/CBoRVb/MfULlOaexk4EzO2ldrsVAD377K462u22CIdWD+PovdR0sApuEY8po9sIe/Y=&amp;_app_id=central_doc_viewer&amp;center_on_screen=true&amp;width=950&amp;height=800&amp;_dd2=%26f%3Dsld%26c%3Dtrue%26os%3D126660%26oe%3D126665" TargetMode="External"/><Relationship Id="rId55" Type="http://schemas.openxmlformats.org/officeDocument/2006/relationships/hyperlink" Target="fdsup://factset/Doc%20Viewer%20Single?float_window=true&amp;positioning_strategy=center_on_screen&amp;_doc_docfn=U2FsdGVkX18Qb2JCeIp/8zGfl8g1vV3Lm4X1uPkt+00fAmrMRcneRUzE/f8b2950jIVVxO0fR5yeuhUMu1ZYAoiMyvgSMyM1LYcl0HTo8TU=&amp;_app_id=central_doc_viewer&amp;center_on_screen=true&amp;width=950&amp;height=800&amp;_dd2=%26f%3Dsld%26c%3Dtrue%26os%3D123195%26oe%3D123202" TargetMode="External"/><Relationship Id="rId76" Type="http://schemas.openxmlformats.org/officeDocument/2006/relationships/hyperlink" Target="fdsup://factset/Doc%20Viewer%20Single?float_window=true&amp;positioning_strategy=center_on_screen&amp;_doc_docfn=U2FsdGVkX1+cpJWjKti3+O+1/UY9v+Rl7rv4bBWTis6Djro3R/Qnh5RNeSewX7kUXqa51WFG6Blp/UG5z0UkV0/+bSGRVd6xSGThnoyCZAA=&amp;_app_id=central_doc_viewer&amp;center_on_screen=true&amp;width=950&amp;height=800&amp;_dd2=%26f%3Dsld%26c%3Dtrue%26os%3D201490%26oe%3D201496" TargetMode="External"/><Relationship Id="rId97" Type="http://schemas.openxmlformats.org/officeDocument/2006/relationships/hyperlink" Target="fdsup://factset/Doc%20Viewer%20Single?float_window=true&amp;positioning_strategy=center_on_screen&amp;_doc_docfn=U2FsdGVkX1+xiT2Jp/uX3fQz9GIL7+fmZ3K3pLaPi3lGXUrVBVQsPjbrUQ0+h1/xMzJl+xXYqMoqQRrtanBhPDK3Nr22Wm3N4rx1+IadpIg=&amp;_app_id=central_doc_viewer&amp;center_on_screen=true&amp;width=950&amp;height=800&amp;_dd2=%26f%3Dsld%26c%3Dtrue%26os%3D137479%26oe%3D137484" TargetMode="External"/><Relationship Id="rId104" Type="http://schemas.openxmlformats.org/officeDocument/2006/relationships/hyperlink" Target="fdsup://factset/Doc%20Viewer%20Single?float_window=true&amp;positioning_strategy=center_on_screen&amp;_doc_docfn=U2FsdGVkX1/ywvvV1GiSXsjZM+32qKQm82/zh9AHpQ1XQpOVyRMltklhYIp40st0wpnuQmSmeUR+GZWVY7Hm76TiStVlrFa8l3bBUhiONZw=&amp;_app_id=central_doc_viewer&amp;center_on_screen=true&amp;width=950&amp;height=800&amp;_dd2=%26f%3Dsld%26c%3Dtrue%26os%3D59935%26oe%3D59941" TargetMode="External"/><Relationship Id="rId120" Type="http://schemas.openxmlformats.org/officeDocument/2006/relationships/hyperlink" Target="fdsup://factset/Doc%20Viewer%20Single?float_window=true&amp;positioning_strategy=center_on_screen&amp;_doc_docfn=U2FsdGVkX1/+dT+OZTI0qEgNeMzTsq1Mw6H46QqCHk9tY6QI0LSQ4OZJMxaOvJ6fy5hnb3XdEz0K/kEd0cJnSqswAj8j/5DgMdSjq7nkuiY=&amp;_app_id=central_doc_viewer&amp;center_on_screen=true&amp;width=950&amp;height=800&amp;_dd2=%26f%3Dsld%26c%3Dtrue%26os%3D132772%26oe%3D132779" TargetMode="External"/><Relationship Id="rId125" Type="http://schemas.openxmlformats.org/officeDocument/2006/relationships/hyperlink" Target="fdsup://factset/Doc%20Viewer%20Single?float_window=true&amp;positioning_strategy=center_on_screen&amp;_doc_docfn=U2FsdGVkX1/vWcxRAoSL6g7LNgDxYWyxEqBIke2PLYOGHWw1ePVlmuM3uO8iedPz6xBAvXrBb6yQZ2Th3VBk8WJY/V5l6fdzCu+p2KgiZv4=&amp;_app_id=central_doc_viewer&amp;center_on_screen=true&amp;width=950&amp;height=800&amp;_dd2=%26f%3Dsld%26c%3Dtrue%26os%3D61538%26oe%3D61544" TargetMode="External"/><Relationship Id="rId141" Type="http://schemas.openxmlformats.org/officeDocument/2006/relationships/hyperlink" Target="fdsup://factset/Doc%20Viewer%20Single?float_window=true&amp;positioning_strategy=center_on_screen&amp;_doc_docfn=U2FsdGVkX1+8U5Rm4jHMfcEabyTWrLU4fySmUOOfyo5DjCKOD6pDeVIkxPExJlyWaGdYIBUBDcoDH//2hq1hetEJPitYjXpTA08ufgHUvKY=&amp;_app_id=central_doc_viewer&amp;center_on_screen=true&amp;width=950&amp;height=800&amp;_dd2=%26f%3Dsld%26c%3Dtrue%26os%3D135202%26oe%3D135209" TargetMode="External"/><Relationship Id="rId146" Type="http://schemas.openxmlformats.org/officeDocument/2006/relationships/hyperlink" Target="fdsup://factset/Doc%20Viewer%20Single?float_window=true&amp;positioning_strategy=center_on_screen&amp;_doc_docfn=U2FsdGVkX19/1BPpUr2RCHeqCxkNQqz3lCGZM7Hrldut1JyyNILpxINPP7LsifLOQMXGsRDjIJ6KxpaLO4xkr9+9I3zgdVtBxE4/2as46Hg=&amp;_app_id=central_doc_viewer&amp;center_on_screen=true&amp;width=950&amp;height=800&amp;_dd2=%26f%3Dsld%26c%3Dtrue%26os%3D126983%26oe%3D126989" TargetMode="External"/><Relationship Id="rId167" Type="http://schemas.openxmlformats.org/officeDocument/2006/relationships/hyperlink" Target="fdsup://factset/Doc%20Viewer%20Single?float_window=true&amp;positioning_strategy=center_on_screen&amp;_doc_docfn=U2FsdGVkX19ttw172YXY79bXvAMHav8jsNGdcQhtYLfHjled8Z98wtJFLn/uaJUMRvHKgeyenj6gvzjfKWP1ENKwOKDjBG7AMwbeIcc/Q4g=&amp;_app_id=central_doc_viewer&amp;center_on_screen=true&amp;width=950&amp;height=800&amp;_dd2=%26f%3Dsld%26c%3Dtrue%26os%3D209026%26oe%3D209032" TargetMode="External"/><Relationship Id="rId188" Type="http://schemas.openxmlformats.org/officeDocument/2006/relationships/hyperlink" Target="fdsup://factset/Doc%20Viewer%20Single?float_window=true&amp;positioning_strategy=center_on_screen&amp;_doc_docfn=U2FsdGVkX1+aKIUvUGCLNY+WKXWlaFDZpGNHna9NxSyzOHO2k5Uo9t5Oir+g0EqC4xEJwhKQ33zAMXGtuglw1p93kt5njkuI6UR7gTHUKkc=&amp;_app_id=central_doc_viewer&amp;center_on_screen=true&amp;width=950&amp;height=800&amp;_dd2=%26f%3Dsld%26c%3Dtrue%26os%3D145255%26oe%3D145260" TargetMode="External"/><Relationship Id="rId7" Type="http://schemas.openxmlformats.org/officeDocument/2006/relationships/hyperlink" Target="fdsup://factset/Doc%20Viewer%20Single?float_window=true&amp;positioning_strategy=center_on_screen&amp;_doc_docfn=U2FsdGVkX198/TgnTNoyxbxNdR8rQlyMwzVpVcNuGzZ3a9S5EZstLqwq73wUQ4XHq7omLZ9ZPOAokCrP1L6XKYc09gZqq/1g89myePCLHpc=&amp;_app_id=central_doc_viewer&amp;center_on_screen=true&amp;width=950&amp;height=800&amp;_dd2=%26f%3Dsld%26c%3Dtrue%26os%3D134184%26oe%3D134191" TargetMode="External"/><Relationship Id="rId71" Type="http://schemas.openxmlformats.org/officeDocument/2006/relationships/hyperlink" Target="fdsup://factset/Doc%20Viewer%20Single?float_window=true&amp;positioning_strategy=center_on_screen&amp;_doc_docfn=U2FsdGVkX191r1ihiLpczDWsppej5r3MHWLKswTHjqcQ45VkbNmi00Z8y/qnPP5xFa0V9g+GwNoSmAcy5wflOp5dblWcVZZZoiHt/pWJ14E=&amp;_app_id=central_doc_viewer&amp;center_on_screen=true&amp;width=950&amp;height=800&amp;_dd2=%26f%3Dsld%26c%3Dtrue%26os%3D57816%26oe%3D57822" TargetMode="External"/><Relationship Id="rId92" Type="http://schemas.openxmlformats.org/officeDocument/2006/relationships/hyperlink" Target="fdsup://factset/Doc%20Viewer%20Single?float_window=true&amp;positioning_strategy=center_on_screen&amp;_doc_docfn=U2FsdGVkX19hHli+OyA6AKsz0uhrFSo9gWzNIFiuRjph34c2niO/vSMAzHFTaPKH3RnwYtWQ3xittaKBL976YDQwYImTdrYHRcpSvbBgp9Y=&amp;_app_id=central_doc_viewer&amp;center_on_screen=true&amp;width=950&amp;height=800&amp;_dd2=%26f%3Dsld%26c%3Dtrue%26os%3D60655%26oe%3D60660" TargetMode="External"/><Relationship Id="rId162" Type="http://schemas.openxmlformats.org/officeDocument/2006/relationships/hyperlink" Target="fdsup://factset/Doc%20Viewer%20Single?float_window=true&amp;positioning_strategy=center_on_screen&amp;_doc_docfn=U2FsdGVkX18+VNeoKSHXrTMnqJBgi3fHKfTVJCN3ll7JexUNrEA4d/mSBv35/wdYmaKSQhQRHBvLAPpnnPGGcIgcwPSNtbR+oKUTGhw6ArI=&amp;_app_id=central_doc_viewer&amp;center_on_screen=true&amp;width=950&amp;height=800&amp;_dd2=%26f%3Dsld%26c%3Dtrue%26os%3D65837%26oe%3D65842" TargetMode="External"/><Relationship Id="rId183" Type="http://schemas.openxmlformats.org/officeDocument/2006/relationships/hyperlink" Target="fdsup://factset/Doc%20Viewer%20Single?float_window=true&amp;positioning_strategy=center_on_screen&amp;_doc_docfn=U2FsdGVkX1+2PWiSNwpqgCgep7Het9+mqYgGpcwt13BE++UZ6J6nXQBL6jB/zcxua193Jwqwm8i3pffTdP0/PtYhZ+cxxk5SxCNrtQ/5I4g=&amp;_app_id=central_doc_viewer&amp;center_on_screen=true&amp;width=950&amp;height=800&amp;_dd2=%26f%3Dsld%26c%3Dtrue%26os%3D69045%26oe%3D69049" TargetMode="External"/><Relationship Id="rId2" Type="http://schemas.openxmlformats.org/officeDocument/2006/relationships/hyperlink" Target="fdsup://factset/Doc%20Viewer%20Single?float_window=true&amp;positioning_strategy=center_on_screen&amp;_doc_docfn=U2FsdGVkX187SsuM09hWC2x4Uv25qMhXNbk/Q9V9R051U45SNcvBP9EjxhNBo7twL0fWKev7l6UTuFtxE0kU8ZiQdJh5DLCEZxwAPYDrbWw=&amp;_app_id=central_doc_viewer&amp;center_on_screen=true&amp;width=950&amp;height=800&amp;_dd2=%26f%3Dsld%26c%3Dtrue%26os%3D57132%26oe%3D57139" TargetMode="External"/><Relationship Id="rId29" Type="http://schemas.openxmlformats.org/officeDocument/2006/relationships/hyperlink" Target="fdsup://factset/Doc%20Viewer%20Single?float_window=true&amp;positioning_strategy=center_on_screen&amp;_doc_docfn=U2FsdGVkX1+/Psrc1EPioDxAwhfGrHUVl0VbKfHFMlUHHP43uUWSvLJJXn3paWHMq9Gg2SZ/+OsnQvLdcvgYaESrW7QNrALR9movpQlmpro=&amp;_app_id=central_doc_viewer&amp;center_on_screen=true&amp;width=950&amp;height=800&amp;_dd2=%26f%3Dsld%26c%3Dtrue%26os%3D139203%26oe%3D139209" TargetMode="External"/><Relationship Id="rId24" Type="http://schemas.openxmlformats.org/officeDocument/2006/relationships/hyperlink" Target="fdsup://factset/Doc%20Viewer%20Single?float_window=true&amp;positioning_strategy=center_on_screen&amp;_doc_docfn=U2FsdGVkX1/JSn4IEZ8ZLsyxPN6V8kfWMAEAN20/cTTAlh8afwIai8BbBqIMlMieRgy8nRnBe85O9dqzBdnXZH2Sgpkup3WfteOMEV0YjZY=&amp;_app_id=central_doc_viewer&amp;center_on_screen=true&amp;width=950&amp;height=800&amp;_dd2=%26f%3Dsld%26c%3Dtrue%26os%3D52527%26oe%3D52533" TargetMode="External"/><Relationship Id="rId40" Type="http://schemas.openxmlformats.org/officeDocument/2006/relationships/hyperlink" Target="fdsup://factset/Doc%20Viewer%20Single?float_window=true&amp;positioning_strategy=center_on_screen&amp;_doc_docfn=U2FsdGVkX187/rjctfQ+DN5PYwzoXBMgamDIU10Z38rzygz1G6Y7UhdbciMxooxaarv+WAVhOqjDgQAHCgiD15JaYiC9YfNUhLcMGbUGrPA=&amp;_app_id=central_doc_viewer&amp;center_on_screen=true&amp;width=950&amp;height=800&amp;_dd2=%26f%3Dsld%26c%3Dtrue%26os%3D145394%26oe%3D145400" TargetMode="External"/><Relationship Id="rId45" Type="http://schemas.openxmlformats.org/officeDocument/2006/relationships/hyperlink" Target="fdsup://factset/Doc%20Viewer%20Single?float_window=true&amp;positioning_strategy=center_on_screen&amp;_doc_docfn=U2FsdGVkX1+BDpSuNe61CyCQ2bsQ6aYNBp3FXcxPorUXVD+CXxEv4fcusm35hk4/mEmS9eVX4cKubHZlP40LCl0HJromm1/aiMoVkLMZYyw=&amp;_app_id=central_doc_viewer&amp;center_on_screen=true&amp;width=950&amp;height=800&amp;_dd2=%26f%3Dsld%26c%3Dtrue%26os%3D118467%26oe%3D118472" TargetMode="External"/><Relationship Id="rId66" Type="http://schemas.openxmlformats.org/officeDocument/2006/relationships/hyperlink" Target="fdsup://factset/Doc%20Viewer%20Single?float_window=true&amp;positioning_strategy=center_on_screen&amp;_doc_docfn=U2FsdGVkX1/wzjcgbBeQrVvRT7OdfqhA5NILRTV/kRPgYwlnBBLefKrOidVsQ5Reb4JXiYaCKaipPCIlpTz/8OfZF2O49AJ4W/LdWb5A+GI=&amp;_app_id=central_doc_viewer&amp;center_on_screen=true&amp;width=950&amp;height=800&amp;_dd2=%26f%3Dsld%26c%3Dtrue%26os%3D200710%26oe%3D200717" TargetMode="External"/><Relationship Id="rId87" Type="http://schemas.openxmlformats.org/officeDocument/2006/relationships/hyperlink" Target="fdsup://factset/Doc%20Viewer%20Single?float_window=true&amp;positioning_strategy=center_on_screen&amp;_doc_docfn=U2FsdGVkX1+8lgz3g4C2P9E5/PdQl9hy1znnImQ+y203VLKQp3y7UZWtir/q3wNZIH6KQNnFKiKtpJdtydonR5svv/CAsknOFrCoCk0JkTI=&amp;_app_id=central_doc_viewer&amp;center_on_screen=true&amp;width=950&amp;height=800&amp;_dd2=%26f%3Dsld%26c%3Dtrue%26os%3D136744%26oe%3D136750" TargetMode="External"/><Relationship Id="rId110" Type="http://schemas.openxmlformats.org/officeDocument/2006/relationships/hyperlink" Target="fdsup://factset/Doc%20Viewer%20Single?float_window=true&amp;positioning_strategy=center_on_screen&amp;_doc_docfn=U2FsdGVkX195qO1iUQTgnqQNmJksfPazgGeOd8/xqMSuLj1kdvKbPpL6vSAnSYnuxrsom4JM+vmWsOALQmtGhGD3hdCxkahKl3nyvkKCN+U=&amp;_app_id=central_doc_viewer&amp;center_on_screen=true&amp;width=950&amp;height=800&amp;_dd2=%26f%3Dsld%26c%3Dtrue%26os%3D132076%26oe%3D132082" TargetMode="External"/><Relationship Id="rId115" Type="http://schemas.openxmlformats.org/officeDocument/2006/relationships/hyperlink" Target="fdsup://factset/Doc%20Viewer%20Single?float_window=true&amp;positioning_strategy=center_on_screen&amp;_doc_docfn=U2FsdGVkX1/DD5ZQEfB0CPGVwNJFhj8gr5vduZ70XfMjJMYGAXi57GjWE0YT9afZAgwP/w7pAk7LLsaHFFxW3MTbRRPPbThhxY2UG7S/j8I=&amp;_app_id=central_doc_viewer&amp;center_on_screen=true&amp;width=950&amp;height=800&amp;_dd2=%26f%3Dsld%26c%3Dtrue%26os%3D124600%26oe%3D124607" TargetMode="External"/><Relationship Id="rId131" Type="http://schemas.openxmlformats.org/officeDocument/2006/relationships/hyperlink" Target="fdsup://factset/Doc%20Viewer%20Single?float_window=true&amp;positioning_strategy=center_on_screen&amp;_doc_docfn=U2FsdGVkX1+gVcETpwNP20ierID0d714hD/+Y9hcT8Mtc+rGWAVlllcRYGzLVVUU92QTGvgsdHvKPcQ9FzHDuoIo41GDh496cbDBgMbb1zc=&amp;_app_id=central_doc_viewer&amp;center_on_screen=true&amp;width=950&amp;height=800&amp;_dd2=%26f%3Dsld%26c%3Dtrue%26os%3D134344%26oe%3D134350" TargetMode="External"/><Relationship Id="rId136" Type="http://schemas.openxmlformats.org/officeDocument/2006/relationships/hyperlink" Target="fdsup://factset/Doc%20Viewer%20Single?float_window=true&amp;positioning_strategy=center_on_screen&amp;_doc_docfn=U2FsdGVkX1/eKbDpu34HrTqiKk9oEfBXijXRA1YC7z2fv6DEuPxq+DKfKE+qgVlLnhyvy0pe/YjwHJn7SW1EATJ2AqHXv5X8J/DrhYkgOtY=&amp;_app_id=central_doc_viewer&amp;center_on_screen=true&amp;width=950&amp;height=800&amp;_dd2=%26f%3Dsld%26c%3Dtrue%26os%3D126285%26oe%3D126292" TargetMode="External"/><Relationship Id="rId157" Type="http://schemas.openxmlformats.org/officeDocument/2006/relationships/hyperlink" Target="fdsup://factset/Doc%20Viewer%20Single?float_window=true&amp;positioning_strategy=center_on_screen&amp;_doc_docfn=U2FsdGVkX18vWu6Q+UQKjWrRgavtaTXaXIaeyvGLlKW70Fj9EpJT/THlRqu8y7AiR2x8dYPU+O4VO/W5DDb3h3J+wQimf/sFIhJ70ZrBrlQ=&amp;_app_id=central_doc_viewer&amp;center_on_screen=true&amp;width=950&amp;height=800&amp;_dd2=%26f%3Dsld%26c%3Dtrue%26os%3D208224%26oe%3D208229" TargetMode="External"/><Relationship Id="rId178" Type="http://schemas.openxmlformats.org/officeDocument/2006/relationships/hyperlink" Target="fdsup://factset/Doc%20Viewer%20Single?float_window=true&amp;positioning_strategy=center_on_screen&amp;_doc_docfn=U2FsdGVkX19pZUVCgJ0hQdv36az+Cfh2SVIdvAe8EJ8cFUy7EUl3GhT+Xby41UplZpGizu7CTU0iWVDyED6yOUJxBRfClTeOxRV59CNAZRc=&amp;_app_id=central_doc_viewer&amp;center_on_screen=true&amp;width=950&amp;height=800&amp;_dd2=%26f%3Dsld%26c%3Dtrue%26os%3D144546%26oe%3D144551" TargetMode="External"/><Relationship Id="rId61" Type="http://schemas.openxmlformats.org/officeDocument/2006/relationships/hyperlink" Target="fdsup://factset/Doc%20Viewer%20Single?float_window=true&amp;positioning_strategy=center_on_screen&amp;_doc_docfn=U2FsdGVkX19/CLkpdbdRY/ybV4/lRHUT+jYlylVOuBoCc8mgqaQ3sqSlL+kTR8XqQ70BYi++BNfNAFVMNIP1fEgUz3CpzIm7ZYqmcmthx7w=&amp;_app_id=central_doc_viewer&amp;center_on_screen=true&amp;width=950&amp;height=800&amp;_dd2=%26f%3Dsld%26c%3Dtrue%26os%3D56984%26oe%3D56991" TargetMode="External"/><Relationship Id="rId82" Type="http://schemas.openxmlformats.org/officeDocument/2006/relationships/hyperlink" Target="fdsup://factset/Doc%20Viewer%20Single?float_window=true&amp;positioning_strategy=center_on_screen&amp;_doc_docfn=U2FsdGVkX1/ThEEftHgqsoh7vKMs8s5VGqYQR8p5XH3rOEmNjWT7dr4Ms3J7XJ19Did9iq+9W765Eip7dbnjDL+PvhNyUT6o8E2j8LhJFHI=&amp;_app_id=central_doc_viewer&amp;center_on_screen=true&amp;width=950&amp;height=800&amp;_dd2=%26f%3Dsld%26c%3Dtrue%26os%3D59888%26oe%3D59894" TargetMode="External"/><Relationship Id="rId152" Type="http://schemas.openxmlformats.org/officeDocument/2006/relationships/hyperlink" Target="fdsup://factset/Doc%20Viewer%20Single?float_window=true&amp;positioning_strategy=center_on_screen&amp;_doc_docfn=U2FsdGVkX19Z1VGBYg0sf2H+B5bwRjQ6mHPgPedm+pr2AN7ATmw/8CO1tcb4eUA3Em6Gg9yMDMcrDOWh+V8Fyr84DozLc44e4HMrgv01lik=&amp;_app_id=central_doc_viewer&amp;center_on_screen=true&amp;width=950&amp;height=800&amp;_dd2=%26f%3Dsld%26c%3Dtrue%26os%3D64995%26oe%3D64999" TargetMode="External"/><Relationship Id="rId173" Type="http://schemas.openxmlformats.org/officeDocument/2006/relationships/hyperlink" Target="fdsup://factset/Doc%20Viewer%20Single?float_window=true&amp;positioning_strategy=center_on_screen&amp;_doc_docfn=U2FsdGVkX1+RIg9aJqPSb0Bs2KCON1/wiG83pcsqRsecXVMayCIjNs+xnm3MWBCIATzb8TCOawH/ltcHBsPIidmollWVXFfLxotrOmVkqOA=&amp;_app_id=central_doc_viewer&amp;center_on_screen=true&amp;width=950&amp;height=800&amp;_dd2=%26f%3Dsld%26c%3Dtrue%26os%3D68280%26oe%3D68284" TargetMode="External"/><Relationship Id="rId194" Type="http://schemas.openxmlformats.org/officeDocument/2006/relationships/hyperlink" Target="fdsup://factset/Doc%20Viewer%20Single?float_window=true&amp;positioning_strategy=center_on_screen&amp;_doc_docfn=U2FsdGVkX1+Shfun3V3/jyPW9EZegsszgKvxUqhbKSAPT04rm8kFUSpr68KoMF8APW+0ljIf8V29OKeknCl5rGACK4NHxnT6Cd/c+Z1XLRU=&amp;_app_id=central_doc_viewer&amp;center_on_screen=true&amp;width=950&amp;height=800&amp;_dd2=%26f%3Dsld%26c%3Dtrue%26os%3D66208%26oe%3D66211" TargetMode="External"/><Relationship Id="rId199" Type="http://schemas.openxmlformats.org/officeDocument/2006/relationships/hyperlink" Target="fdsup://factset/Doc%20Viewer%20Single?float_window=true&amp;positioning_strategy=center_on_screen&amp;_doc_docfn=U2FsdGVkX18rrOPFKgGiiZAS7M8rc9KoHJDOeouapBPeFbhdTgnqIQoHRLUn3DXhtbvFdgL2fJSDKOfAmc0pix2RKWONSGjrrq1gooYBodg=&amp;_app_id=central_doc_viewer&amp;center_on_screen=true&amp;width=950&amp;height=800&amp;_dd2=%26f%3Dsld%26c%3Dtrue%26os%3D133791%26oe%3D133794" TargetMode="External"/><Relationship Id="rId203" Type="http://schemas.openxmlformats.org/officeDocument/2006/relationships/hyperlink" Target="fdsup://factset/Doc%20Viewer%20Single?float_window=true&amp;positioning_strategy=center_on_screen&amp;_doc_docfn=U2FsdGVkX19OeUSVxjI6Gj0NausfRO+N16/J+KSFUvJZw7taTdAD75uSu0gENRtNpJx5vpsk5w4kdy7TUyZMJx0YU8F2iztEQcKRLo5eVgY=&amp;_app_id=central_doc_viewer&amp;center_on_screen=true&amp;width=950&amp;height=800&amp;_dd2=%26f%3Dsld%26c%3Dtrue%26os%3D71639%26oe%3D71642" TargetMode="External"/><Relationship Id="rId208" Type="http://schemas.openxmlformats.org/officeDocument/2006/relationships/hyperlink" Target="fdsup://factset/Doc%20Viewer%20Single?float_window=true&amp;positioning_strategy=center_on_screen&amp;_doc_docfn=U2FsdGVkX18W1+s+p0b3iNwmOJp4BPQ2RgN5bxLmVbYJnV1PesbCv9ux0Cz5wC0284f/yp+1dwod5tRkLgJOck1I3JsblDou2bi5rP1hISE=&amp;_app_id=central_doc_viewer&amp;center_on_screen=true&amp;width=950&amp;height=800&amp;_dd2=%26f%3Dsld%26c%3Dtrue%26os%3D147682%26oe%3D147685" TargetMode="External"/><Relationship Id="rId19" Type="http://schemas.openxmlformats.org/officeDocument/2006/relationships/hyperlink" Target="fdsup://factset/Doc%20Viewer%20Single?float_window=true&amp;positioning_strategy=center_on_screen&amp;_doc_docfn=U2FsdGVkX19JznexWo4519Lc7+Q3YTrGhcLq29++A4cwvn719RtxWi2A1Z0gC1b8zBuG5L1bmeyWGu5y8Jlfrh07L6yoZrxWzbTMFXnV49w=&amp;_app_id=central_doc_viewer&amp;center_on_screen=true&amp;width=950&amp;height=800&amp;_dd2=%26f%3Dsld%26c%3Dtrue%26os%3D121934%26oe%3D121941" TargetMode="External"/><Relationship Id="rId14" Type="http://schemas.openxmlformats.org/officeDocument/2006/relationships/hyperlink" Target="fdsup://factset/Doc%20Viewer%20Single?float_window=true&amp;positioning_strategy=center_on_screen&amp;_doc_docfn=U2FsdGVkX196ICK3gKSJvQE1yWjiGlpvN1NEUWqabUdYNfkXNEB6kxuZvD5uA2RkMIYOoxisd44yzda7GNeHIlzPGsPKg5sndbRL+/HAsw8=&amp;_app_id=central_doc_viewer&amp;center_on_screen=true&amp;width=950&amp;height=800&amp;_dd2=%26f%3Dsld%26c%3Dtrue%26os%3D51767%26oe%3D51774" TargetMode="External"/><Relationship Id="rId30" Type="http://schemas.openxmlformats.org/officeDocument/2006/relationships/hyperlink" Target="fdsup://factset/Doc%20Viewer%20Single?float_window=true&amp;positioning_strategy=center_on_screen&amp;_doc_docfn=U2FsdGVkX1+NeIb4gF+/cTl/1BrNzm+XUs+zYkMReIRDDTHarkRfPIEwLCK6eBJFWEQ7bd03tJTa+wxRfLlrZ3K8EwObaj5MGSK5MEGEs0g=&amp;_app_id=central_doc_viewer&amp;center_on_screen=true&amp;width=950&amp;height=800&amp;_dd2=%26f%3Dsld%26c%3Dtrue%26os%3D143967%26oe%3D143973" TargetMode="External"/><Relationship Id="rId35" Type="http://schemas.openxmlformats.org/officeDocument/2006/relationships/hyperlink" Target="fdsup://factset/Doc%20Viewer%20Single?float_window=true&amp;positioning_strategy=center_on_screen&amp;_doc_docfn=U2FsdGVkX19YseuWGXbxjlr0se0nnGhcuCbW57C50AtIS7IhS0HJTOc6nFYjyU2g8ERegxu4qzTmvuDLQEbliL/o2vvQlsgfdrQKBsBlQ1Y=&amp;_app_id=central_doc_viewer&amp;center_on_screen=true&amp;width=950&amp;height=800&amp;_dd2=%26f%3Dsld%26c%3Dtrue%26os%3D117738%26oe%3D117744" TargetMode="External"/><Relationship Id="rId56" Type="http://schemas.openxmlformats.org/officeDocument/2006/relationships/hyperlink" Target="fdsup://factset/Doc%20Viewer%20Single?float_window=true&amp;positioning_strategy=center_on_screen&amp;_doc_docfn=U2FsdGVkX19gg4HmMlNvuiFf0HT2no6RD3psgFzPtmzdVOTJOhHOeQpDpvI5I0FubIoB3R6hlfiTVQSm6pLlM93vyu1gNt89hvrvrPdDjyM=&amp;_app_id=central_doc_viewer&amp;center_on_screen=true&amp;width=950&amp;height=800&amp;_dd2=%26f%3Dsld%26c%3Dtrue%26os%3D203692%26oe%3D203699" TargetMode="External"/><Relationship Id="rId77" Type="http://schemas.openxmlformats.org/officeDocument/2006/relationships/hyperlink" Target="fdsup://factset/Doc%20Viewer%20Single?float_window=true&amp;positioning_strategy=center_on_screen&amp;_doc_docfn=U2FsdGVkX1/8Xnmon76Ih27eZNicLkLRd5aBn02O0CCwblLVK+wUsjGydxsSnR7WYBff+CZkLH3xbS6k6IXO+K8PasjfyxBjrVrIIl8DiR0=&amp;_app_id=central_doc_viewer&amp;center_on_screen=true&amp;width=950&amp;height=800&amp;_dd2=%26f%3Dsld%26c%3Dtrue%26os%3D135993%26oe%3D135999" TargetMode="External"/><Relationship Id="rId100" Type="http://schemas.openxmlformats.org/officeDocument/2006/relationships/hyperlink" Target="fdsup://factset/Doc%20Viewer%20Single?float_window=true&amp;positioning_strategy=center_on_screen&amp;_doc_docfn=U2FsdGVkX1+xlOowpbMRd/ZUZ++r2/qumlAftlUOwfPRLfwSp4iC+FkTu4oeuVNlvKTHm1roIH4TFUlFaaHkEg6L/DP+/ixc7yYxiH54m1Q=&amp;_app_id=central_doc_viewer&amp;center_on_screen=true&amp;width=950&amp;height=800&amp;_dd2=%26f%3Dsld%26c%3Dtrue%26os%3D130651%26oe%3D130656" TargetMode="External"/><Relationship Id="rId105" Type="http://schemas.openxmlformats.org/officeDocument/2006/relationships/hyperlink" Target="fdsup://factset/Doc%20Viewer%20Single?float_window=true&amp;positioning_strategy=center_on_screen&amp;_doc_docfn=U2FsdGVkX1/gwfP4K0F+do0WuXs7mmqHowZUBFr6wk8kIOAzB3hSd7sHKuCxvuPa3E0wSlU3P4W5ICe6Rx2uDTGPgZXBfFVl9yLXEEUnT6E=&amp;_app_id=central_doc_viewer&amp;center_on_screen=true&amp;width=950&amp;height=800&amp;_dd2=%26f%3Dsld%26c%3Dtrue%26os%3D123904%26oe%3D123910" TargetMode="External"/><Relationship Id="rId126" Type="http://schemas.openxmlformats.org/officeDocument/2006/relationships/hyperlink" Target="fdsup://factset/Doc%20Viewer%20Single?float_window=true&amp;positioning_strategy=center_on_screen&amp;_doc_docfn=U2FsdGVkX1+AMPreRzSutj+MtcHNRxLbVnSyPAL5p8kUy3SrO2WplQNuuDz4cAPhpNRzXKwDLwk+jptpBpsG8nQehSlz7srDYiLqzciN/vw=&amp;_app_id=central_doc_viewer&amp;center_on_screen=true&amp;width=950&amp;height=800&amp;_dd2=%26f%3Dsld%26c%3Dtrue%26os%3D125395%26oe%3D125401" TargetMode="External"/><Relationship Id="rId147" Type="http://schemas.openxmlformats.org/officeDocument/2006/relationships/hyperlink" Target="fdsup://factset/Doc%20Viewer%20Single?float_window=true&amp;positioning_strategy=center_on_screen&amp;_doc_docfn=U2FsdGVkX195owIN//G+EJMDJBSgzy46xe+tCnYnjf+ZJTvu9D/DenZzuIHxIjZMEVcJLa9qdzZ/X0pSeMhkX1SJV9n4i4WHF5Wdb19mfRc=&amp;_app_id=central_doc_viewer&amp;center_on_screen=true&amp;width=950&amp;height=800&amp;_dd2=%26f%3Dsld%26c%3Dtrue%26os%3D207480%26oe%3D207486" TargetMode="External"/><Relationship Id="rId168" Type="http://schemas.openxmlformats.org/officeDocument/2006/relationships/hyperlink" Target="fdsup://factset/Doc%20Viewer%20Single?float_window=true&amp;positioning_strategy=center_on_screen&amp;_doc_docfn=U2FsdGVkX1+yHZylJrsUZJrty5HVMvOJoEZw71Q94U8JSMyg2JKub5vWlWz0amtspkd+H2BShtevBKKb4VHAHrG88bS6KXSGEnDUuvsJh0M=&amp;_app_id=central_doc_viewer&amp;center_on_screen=true&amp;width=950&amp;height=800&amp;_dd2=%26f%3Dsld%26c%3Dtrue%26os%3D143481%26oe%3D143487" TargetMode="External"/><Relationship Id="rId8" Type="http://schemas.openxmlformats.org/officeDocument/2006/relationships/hyperlink" Target="fdsup://factset/Doc%20Viewer%20Single?float_window=true&amp;positioning_strategy=center_on_screen&amp;_doc_docfn=U2FsdGVkX1+OqrdlcqikSUFc4YKg/RILVVfij56Wly/JKEXS3862M+1uFbS59yk0gVhq5yjaZibHucjI84vywI8ZoqpUsLwi/Oac9wxBc+E=&amp;_app_id=central_doc_viewer&amp;center_on_screen=true&amp;width=950&amp;height=800&amp;_dd2=%26f%3Dsld%26c%3Dtrue%26os%3D121937%26oe%3D121944" TargetMode="External"/><Relationship Id="rId51" Type="http://schemas.openxmlformats.org/officeDocument/2006/relationships/hyperlink" Target="fdsup://factset/Doc%20Viewer%20Single?float_window=true&amp;positioning_strategy=center_on_screen&amp;_doc_docfn=U2FsdGVkX1+n87KUWZZDLziV4Yxjezpji4D2di/oPDDj9FrMejt8h7nkXl4gnlelfydFkrWSfedJ+daiGrFSEvqTOD0voIN6WxR3Q/v2keY=&amp;_app_id=central_doc_viewer&amp;center_on_screen=true&amp;width=950&amp;height=800&amp;_dd2=%26f%3Dsld%26c%3Dtrue%26os%3D60149%26oe%3D60156" TargetMode="External"/><Relationship Id="rId72" Type="http://schemas.openxmlformats.org/officeDocument/2006/relationships/hyperlink" Target="fdsup://factset/Doc%20Viewer%20Single?float_window=true&amp;positioning_strategy=center_on_screen&amp;_doc_docfn=U2FsdGVkX1/VHPVQ3EEf2hBIduSKqm8Xe0sSIICMAk+ZHlIWdmTymrPMRMp8rxHDnkKCFvo+TikI4qFjqqtiEMzR8D/swZqHZBo8JQy5Bus=&amp;_app_id=central_doc_viewer&amp;center_on_screen=true&amp;width=950&amp;height=800&amp;_dd2=%26f%3Dsld%26c%3Dtrue%26os%3D59092%26oe%3D59098" TargetMode="External"/><Relationship Id="rId93" Type="http://schemas.openxmlformats.org/officeDocument/2006/relationships/hyperlink" Target="fdsup://factset/Doc%20Viewer%20Single?float_window=true&amp;positioning_strategy=center_on_screen&amp;_doc_docfn=U2FsdGVkX18IUa4Js4nMUG4TKofr43GrrZSnqa5Z5s6jYciBRTc+96yJ78EhFvUAeyeKjm52zlwq10rxtq3wDFXVIrw4qpEDGckfw6gfp9c=&amp;_app_id=central_doc_viewer&amp;center_on_screen=true&amp;width=950&amp;height=800&amp;_dd2=%26f%3Dsld%26c%3Dtrue%26os%3D56955%26oe%3D56960" TargetMode="External"/><Relationship Id="rId98" Type="http://schemas.openxmlformats.org/officeDocument/2006/relationships/hyperlink" Target="fdsup://factset/Doc%20Viewer%20Single?float_window=true&amp;positioning_strategy=center_on_screen&amp;_doc_docfn=U2FsdGVkX1/CNCdKW5XNVGM1uj18BZdqtW7ew3pWMqvkr/Jy76shugsmK57pAwg3rCRKxzkaNVFivT+TWctfzwkSknabAo/6cNjHrKbRpK0=&amp;_app_id=central_doc_viewer&amp;center_on_screen=true&amp;width=950&amp;height=800&amp;_dd2=%26f%3Dsld%26c%3Dtrue%26os%3D125232%26oe%3D125237" TargetMode="External"/><Relationship Id="rId121" Type="http://schemas.openxmlformats.org/officeDocument/2006/relationships/hyperlink" Target="fdsup://factset/Doc%20Viewer%20Single?float_window=true&amp;positioning_strategy=center_on_screen&amp;_doc_docfn=U2FsdGVkX18to5Tmng2uiKkAdCU6Xum05VlTX1ismDeBoNQqiKL1ONNpplKvUoEA0OMsqMHKYa8Dn/U+QcoiRVKe6+Vqqh3S58bcqxQZsxw=&amp;_app_id=central_doc_viewer&amp;center_on_screen=true&amp;width=950&amp;height=800&amp;_dd2=%26f%3Dsld%26c%3Dtrue%26os%3D133537%26oe%3D133544" TargetMode="External"/><Relationship Id="rId142" Type="http://schemas.openxmlformats.org/officeDocument/2006/relationships/hyperlink" Target="fdsup://factset/Doc%20Viewer%20Single?float_window=true&amp;positioning_strategy=center_on_screen&amp;_doc_docfn=U2FsdGVkX1/lYS5MTSzUFM/cv3wxwNSEdGCjkXd19CYBwwJeattv+I4A5AKEnVcejO5F/LAfUwJRpOvG8+i9Dj+NBHrTn7MviZYRTL0GCAg=&amp;_app_id=central_doc_viewer&amp;center_on_screen=true&amp;width=950&amp;height=800&amp;_dd2=%26f%3Dsld%26c%3Dtrue%26os%3D64201%26oe%3D64206" TargetMode="External"/><Relationship Id="rId163" Type="http://schemas.openxmlformats.org/officeDocument/2006/relationships/hyperlink" Target="fdsup://factset/Doc%20Viewer%20Single?float_window=true&amp;positioning_strategy=center_on_screen&amp;_doc_docfn=U2FsdGVkX1/sghY2seTO9Fjg2Tig+nWF0PV8sNHqtUD+wrNutgFl2OOVyZIo47a8d83Le3v9US3qdgLGQxWpPD0oaw6MD7/vjXPz8N3CMtE=&amp;_app_id=central_doc_viewer&amp;center_on_screen=true&amp;width=950&amp;height=800&amp;_dd2=%26f%3Dsld%26c%3Dtrue%26os%3D67122%26oe%3D67127" TargetMode="External"/><Relationship Id="rId184" Type="http://schemas.openxmlformats.org/officeDocument/2006/relationships/hyperlink" Target="fdsup://factset/Doc%20Viewer%20Single?float_window=true&amp;positioning_strategy=center_on_screen&amp;_doc_docfn=U2FsdGVkX1/fFecG2xq0t981zlz+oiF4+r9d614OFiVESgunaGEqX1yvg2by6nF7vgG/Gxir8tOnapMROXi5SARmAwJT7i1ihlb+oSOMv8I=&amp;_app_id=central_doc_viewer&amp;center_on_screen=true&amp;width=950&amp;height=800&amp;_dd2=%26f%3Dsld%26c%3Dtrue%26os%3D65369%26oe%3D65374" TargetMode="External"/><Relationship Id="rId189" Type="http://schemas.openxmlformats.org/officeDocument/2006/relationships/hyperlink" Target="fdsup://factset/Doc%20Viewer%20Single?float_window=true&amp;positioning_strategy=center_on_screen&amp;_doc_docfn=U2FsdGVkX1+Ik0bq0X7bVpPBPCAhp5Twsvmc3W/gO9YH2+mh6X44kXtYcBf5og20B1KNHjlCMyn8ShY83H+an10Nu/112KENiWsbhnHc1vM=&amp;_app_id=central_doc_viewer&amp;center_on_screen=true&amp;width=950&amp;height=800&amp;_dd2=%26f%3Dsld%26c%3Dtrue%26os%3D133008%26oe%3D133013" TargetMode="External"/><Relationship Id="rId3" Type="http://schemas.openxmlformats.org/officeDocument/2006/relationships/hyperlink" Target="fdsup://factset/Doc%20Viewer%20Single?float_window=true&amp;positioning_strategy=center_on_screen&amp;_doc_docfn=U2FsdGVkX18gVG/bOHDSzWXnSDxmmbN3+EJaiMDI1cZq/qmo6kyMFLKQ57IyZvrKbwIizY+pyt9cFnQN4ICmYwJVZgf/kxUn80LVlj2n8A0=&amp;_app_id=central_doc_viewer&amp;center_on_screen=true&amp;width=950&amp;height=800&amp;_dd2=%26f%3Dsld%26c%3Dtrue%26os%3D53428%26oe%3D53435" TargetMode="External"/><Relationship Id="rId25" Type="http://schemas.openxmlformats.org/officeDocument/2006/relationships/hyperlink" Target="fdsup://factset/Doc%20Viewer%20Single?float_window=true&amp;positioning_strategy=center_on_screen&amp;_doc_docfn=U2FsdGVkX1/8kSSHelHusBSaUC3XCIWQYVwOxO6M+ZcztEbMlL2KfICCT5/DxEW8W4Vv3OA9zD7K63uo4gxuVN41B7k+uTftyGVS6evrB5M=&amp;_app_id=central_doc_viewer&amp;center_on_screen=true&amp;width=950&amp;height=800&amp;_dd2=%26f%3Dsld%26c%3Dtrue%26os%3D117038%26oe%3D117044" TargetMode="External"/><Relationship Id="rId46" Type="http://schemas.openxmlformats.org/officeDocument/2006/relationships/hyperlink" Target="fdsup://factset/Doc%20Viewer%20Single?float_window=true&amp;positioning_strategy=center_on_screen&amp;_doc_docfn=U2FsdGVkX1/e1OUg0lnv8liBnwf5N6vQA1LgUCAdsQPJyMzwqG6WuY5UcosVEx+UvScebnaq00oEJYfkggnrAfXDbJ3fGBVRZIgptGQK/ng=&amp;_app_id=central_doc_viewer&amp;center_on_screen=true&amp;width=950&amp;height=800&amp;_dd2=%26f%3Dsld%26c%3Dtrue%26os%3D198964%26oe%3D198969" TargetMode="External"/><Relationship Id="rId67" Type="http://schemas.openxmlformats.org/officeDocument/2006/relationships/hyperlink" Target="fdsup://factset/Doc%20Viewer%20Single?float_window=true&amp;positioning_strategy=center_on_screen&amp;_doc_docfn=U2FsdGVkX1/3Ltk6KJURgEYAja1qoqpkMbRLP3ckLDeSSxltK71KwAO39kTrqaLhG4aE0i6vBmFYJPbEdoVNBtJbYjXJ2burP84I+yI9p1A=&amp;_app_id=central_doc_viewer&amp;center_on_screen=true&amp;width=950&amp;height=800&amp;_dd2=%26f%3Dsld%26c%3Dtrue%26os%3D135213%26oe%3D135220" TargetMode="External"/><Relationship Id="rId116" Type="http://schemas.openxmlformats.org/officeDocument/2006/relationships/hyperlink" Target="fdsup://factset/Doc%20Viewer%20Single?float_window=true&amp;positioning_strategy=center_on_screen&amp;_doc_docfn=U2FsdGVkX19mLgZLeXddBRc9scXUK7jQTAd1SV6oPZwVf24VOAvuTHyaqXmqy/H9ZeBMLAO9vp0eIK5CfIBDyhZDMis+oCpMiU4NcYavqQE=&amp;_app_id=central_doc_viewer&amp;center_on_screen=true&amp;width=950&amp;height=800&amp;_dd2=%26f%3Dsld%26c%3Dtrue%26os%3D205097%26oe%3D205104" TargetMode="External"/><Relationship Id="rId137" Type="http://schemas.openxmlformats.org/officeDocument/2006/relationships/hyperlink" Target="fdsup://factset/Doc%20Viewer%20Single?float_window=true&amp;positioning_strategy=center_on_screen&amp;_doc_docfn=U2FsdGVkX19/VO+MK8eqQ/mfj13Ttd9ifANwwH1ne4KaLz/Mp7HDR8RVldxEi9W86CnAncZ52lbdVq3dRE1i+0IxhLPL7TpOuD5ciRW3Dh0=&amp;_app_id=central_doc_viewer&amp;center_on_screen=true&amp;width=950&amp;height=800&amp;_dd2=%26f%3Dsld%26c%3Dtrue%26os%3D206782%26oe%3D206789" TargetMode="External"/><Relationship Id="rId158" Type="http://schemas.openxmlformats.org/officeDocument/2006/relationships/hyperlink" Target="fdsup://factset/Doc%20Viewer%20Single?float_window=true&amp;positioning_strategy=center_on_screen&amp;_doc_docfn=U2FsdGVkX1+fJzqyqgN8loAhir+U6dddqR5BgvwL+/TUqmR8uLhEPNRDfVJ8UQTAZYJfSwfZ0RcCN/I3b5+rovOrMqDT+0aB7iF+NM988YA=&amp;_app_id=central_doc_viewer&amp;center_on_screen=true&amp;width=950&amp;height=800&amp;_dd2=%26f%3Dsld%26c%3Dtrue%26os%3D142679%26oe%3D142684" TargetMode="External"/><Relationship Id="rId20" Type="http://schemas.openxmlformats.org/officeDocument/2006/relationships/hyperlink" Target="fdsup://factset/Doc%20Viewer%20Single?float_window=true&amp;positioning_strategy=center_on_screen&amp;_doc_docfn=U2FsdGVkX1/QBz6KTNUV3DxCGdHCkS7ER8IpvqVJXDmU5Xq67XaAZsP1ACjd7qdxhVEMkuAN6kwHoSEtcBkYc29YsMSjgLGe83pj4eDuse4=&amp;_app_id=central_doc_viewer&amp;center_on_screen=true&amp;width=950&amp;height=800&amp;_dd2=%26f%3Dsld%26c%3Dtrue%26os%3D125928%26oe%3D125935" TargetMode="External"/><Relationship Id="rId41" Type="http://schemas.openxmlformats.org/officeDocument/2006/relationships/hyperlink" Target="fdsup://factset/Doc%20Viewer%20Single?float_window=true&amp;positioning_strategy=center_on_screen&amp;_doc_docfn=U2FsdGVkX1+BvfEZilCLrm0+i7LQnlggmNEuPeArw663ywU/nfCH6bGcgSmeL8SG40flWVKk/hP0pcuSdFfV2qt1DHZYb4FJA0MByXB7v10=&amp;_app_id=central_doc_viewer&amp;center_on_screen=true&amp;width=950&amp;height=800&amp;_dd2=%26f%3Dsld%26c%3Dtrue%26os%3D55093%26oe%3D55096" TargetMode="External"/><Relationship Id="rId62" Type="http://schemas.openxmlformats.org/officeDocument/2006/relationships/hyperlink" Target="fdsup://factset/Doc%20Viewer%20Single?float_window=true&amp;positioning_strategy=center_on_screen&amp;_doc_docfn=U2FsdGVkX19JQudqLzdOZMc8YnVTXIr8TQSKi/EH5hXnQZPyQnejuAbaMwMx+YD2KPi7HqzjTYADtLn8u87lrXJjFMqOVOXMPAiqALtknTM=&amp;_app_id=central_doc_viewer&amp;center_on_screen=true&amp;width=950&amp;height=800&amp;_dd2=%26f%3Dsld%26c%3Dtrue%26os%3D58258%26oe%3D58265" TargetMode="External"/><Relationship Id="rId83" Type="http://schemas.openxmlformats.org/officeDocument/2006/relationships/hyperlink" Target="fdsup://factset/Doc%20Viewer%20Single?float_window=true&amp;positioning_strategy=center_on_screen&amp;_doc_docfn=U2FsdGVkX1/G7redKz0A9ZWc0O/AkqI0vEm5p4t9OVlniL/14oUXWdA9OrnpoO8zt7BWAnXay4X7Crjaiw6jRVYGWr0wNLaf/TMszRYRfrk=&amp;_app_id=central_doc_viewer&amp;center_on_screen=true&amp;width=950&amp;height=800&amp;_dd2=%26f%3Dsld%26c%3Dtrue%26os%3D56186%26oe%3D56192" TargetMode="External"/><Relationship Id="rId88" Type="http://schemas.openxmlformats.org/officeDocument/2006/relationships/hyperlink" Target="fdsup://factset/Doc%20Viewer%20Single?float_window=true&amp;positioning_strategy=center_on_screen&amp;_doc_docfn=U2FsdGVkX1+WkqLtCCYC8l83FM5HItcJbKPorxldQwQ34a/lGKNvnOoeTkMFDHAJxwbMrL+Imw1VdQXpiuqjaC/nZla5ZMEbE8OyxyGqJGk=&amp;_app_id=central_doc_viewer&amp;center_on_screen=true&amp;width=950&amp;height=800&amp;_dd2=%26f%3Dsld%26c%3Dtrue%26os%3D124497%26oe%3D124503" TargetMode="External"/><Relationship Id="rId111" Type="http://schemas.openxmlformats.org/officeDocument/2006/relationships/hyperlink" Target="fdsup://factset/Doc%20Viewer%20Single?float_window=true&amp;positioning_strategy=center_on_screen&amp;_doc_docfn=U2FsdGVkX1+q6LibV4PAivf8OU0UZ53Lp7RDEhbxhQYqnSZ7FGmS6zJGp0IKEyK2isX+jFIGGcVz0jdXnI733zsp8uyl/Fk7oyFjuqjtbrc=&amp;_app_id=central_doc_viewer&amp;center_on_screen=true&amp;width=950&amp;height=800&amp;_dd2=%26f%3Dsld%26c%3Dtrue%26os%3D61663%26oe%3D61668" TargetMode="External"/><Relationship Id="rId132" Type="http://schemas.openxmlformats.org/officeDocument/2006/relationships/hyperlink" Target="fdsup://factset/Doc%20Viewer%20Single?float_window=true&amp;positioning_strategy=center_on_screen&amp;_doc_docfn=U2FsdGVkX1+J6M/kl9RVWGjFv3h3n52i/Fv6ZsTffCqS1rG11+NcJW1w7csCEqsjpl9mi7m8gn87hPzMLbfLnrz/pVxzVsju7XuKlimPw7I=&amp;_app_id=central_doc_viewer&amp;center_on_screen=true&amp;width=950&amp;height=800&amp;_dd2=%26f%3Dsld%26c%3Dtrue%26os%3D63448%26oe%3D63455" TargetMode="External"/><Relationship Id="rId153" Type="http://schemas.openxmlformats.org/officeDocument/2006/relationships/hyperlink" Target="fdsup://factset/Doc%20Viewer%20Single?float_window=true&amp;positioning_strategy=center_on_screen&amp;_doc_docfn=U2FsdGVkX18Pdzqc+A6te/v77hhcEEVcxgXVoKpZuixuZ/c4cRSg3Um4KOVNDvz9uOJlKIBZ+N1QVGdjDeLeP7vB5M9VbSeJ3GnfHpTQv+E=&amp;_app_id=central_doc_viewer&amp;center_on_screen=true&amp;width=950&amp;height=800&amp;_dd2=%26f%3Dsld%26c%3Dtrue%26os%3D66280%26oe%3D66284" TargetMode="External"/><Relationship Id="rId174" Type="http://schemas.openxmlformats.org/officeDocument/2006/relationships/hyperlink" Target="fdsup://factset/Doc%20Viewer%20Single?float_window=true&amp;positioning_strategy=center_on_screen&amp;_doc_docfn=U2FsdGVkX19xK4R4/FfnLhPGM/cs+Ps5HssXKPnpSHHv2VPIUTIyJVVl55UfnChD+kdnLDeD3sLw2z7j8arluQ1O85CdrLzFMgaCZ6aHR+M=&amp;_app_id=central_doc_viewer&amp;center_on_screen=true&amp;width=950&amp;height=800&amp;_dd2=%26f%3Dsld%26c%3Dtrue%26os%3D64602%26oe%3D64607" TargetMode="External"/><Relationship Id="rId179" Type="http://schemas.openxmlformats.org/officeDocument/2006/relationships/hyperlink" Target="fdsup://factset/Doc%20Viewer%20Single?float_window=true&amp;positioning_strategy=center_on_screen&amp;_doc_docfn=U2FsdGVkX1/0pZ74ZMBy0cPebsyYA2S534AS1psKHVAIoN1wUuW1stHj05RdIQDzBGvFjmd8foZwPPYU1ocVpkT8I572fdxZXw4wM6hORfA=&amp;_app_id=central_doc_viewer&amp;center_on_screen=true&amp;width=950&amp;height=800&amp;_dd2=%26f%3Dsld%26c%3Dtrue%26os%3D132299%26oe%3D132304" TargetMode="External"/><Relationship Id="rId195" Type="http://schemas.openxmlformats.org/officeDocument/2006/relationships/hyperlink" Target="fdsup://factset/Doc%20Viewer%20Single?float_window=true&amp;positioning_strategy=center_on_screen&amp;_doc_docfn=U2FsdGVkX1/Eoc2bpuo4wbewK4yCLz8GR5cN3/vax1fHMEfownyx8DcFYv1InnRcuOhAZiNG1TvLEmgg7HfyIxl4hqLkWFXjrQ6Qy5mQ8Sk=&amp;_app_id=central_doc_viewer&amp;center_on_screen=true&amp;width=950&amp;height=800&amp;_dd2=%26f%3Dsld%26c%3Dtrue%26os%3D67664%26oe%3D67667" TargetMode="External"/><Relationship Id="rId209" Type="http://schemas.openxmlformats.org/officeDocument/2006/relationships/hyperlink" Target="fdsup://factset/Doc%20Viewer%20Single?float_window=true&amp;positioning_strategy=center_on_screen&amp;_doc_docfn=U2FsdGVkX18UwdfxvowBrf3jzgxqndpMVQVnNllBgnoO1G+Rfuh+OYWtlBOAb/gspVI+AmsMv+ht2MKKcgLzaI5crT/AzI3JQUMrdHsiWBY=&amp;_app_id=central_doc_viewer&amp;center_on_screen=true&amp;width=950&amp;height=800&amp;_dd2=%26f%3Dsld%26c%3Dtrue%26os%3D135435%26oe%3D135438" TargetMode="External"/><Relationship Id="rId190" Type="http://schemas.openxmlformats.org/officeDocument/2006/relationships/hyperlink" Target="fdsup://factset/Doc%20Viewer%20Single?float_window=true&amp;positioning_strategy=center_on_screen&amp;_doc_docfn=U2FsdGVkX184NUrNX6myCEKr77lyyX6I0Qngw9pKhYczV5VLMyw6M89g1PfdwbJ8j5lA6b9+1pK6QiPc7wXYzu7kmcXt2/Hjpcwx6UCC/QI=&amp;_app_id=central_doc_viewer&amp;center_on_screen=true&amp;width=950&amp;height=800&amp;_dd2=%26f%3Dsld%26c%3Dtrue%26os%3D134454%26oe%3D134459" TargetMode="External"/><Relationship Id="rId204" Type="http://schemas.openxmlformats.org/officeDocument/2006/relationships/hyperlink" Target="fdsup://factset/Doc%20Viewer%20Single?float_window=true&amp;positioning_strategy=center_on_screen&amp;_doc_docfn=U2FsdGVkX189bTmLDbQFB3q5uCwx1+VJ0uaWq+QtZzjPIr0GTcH9rMAhAptOU91CW+0lycnh3GLHlkNsGIsWIGa1lkDJBxS05qPi9JsZAUg=&amp;_app_id=central_doc_viewer&amp;center_on_screen=true&amp;width=950&amp;height=800&amp;_dd2=%26f%3Dsld%26c%3Dtrue%26os%3D67964%26oe%3D67967" TargetMode="External"/><Relationship Id="rId15" Type="http://schemas.openxmlformats.org/officeDocument/2006/relationships/hyperlink" Target="fdsup://factset/Doc%20Viewer%20Single?float_window=true&amp;positioning_strategy=center_on_screen&amp;_doc_docfn=U2FsdGVkX1+Gwrc2BaFdPCIGP5uQHm9N2renD0tPOyLAB3CwkTvJNQFVoKhqLXSDI+llVCWfBZR9Jn6XvZeh4kZjWVdED+hWWOTlWeWd7fM=&amp;_app_id=central_doc_viewer&amp;center_on_screen=true&amp;width=950&amp;height=800&amp;_dd2=%26f%3Dsld%26c%3Dtrue%26os%3D116334%26oe%3D116341" TargetMode="External"/><Relationship Id="rId36" Type="http://schemas.openxmlformats.org/officeDocument/2006/relationships/hyperlink" Target="fdsup://factset/Doc%20Viewer%20Single?float_window=true&amp;positioning_strategy=center_on_screen&amp;_doc_docfn=U2FsdGVkX1+LoLrzTcJ/LAMN8YVOWQnbO7fSfXm2hs18WzFL7z066MKPr7mPEaf+xQVIeosCBvTgpT41A888S4yEEeT6sKfGcsEdkMPhLYE=&amp;_app_id=central_doc_viewer&amp;center_on_screen=true&amp;width=950&amp;height=800&amp;_dd2=%26f%3Dsld%26c%3Dtrue%26os%3D198235%26oe%3D198241" TargetMode="External"/><Relationship Id="rId57" Type="http://schemas.openxmlformats.org/officeDocument/2006/relationships/hyperlink" Target="fdsup://factset/Doc%20Viewer%20Single?float_window=true&amp;positioning_strategy=center_on_screen&amp;_doc_docfn=U2FsdGVkX18j3vMXpxNDpMLYKkwkxB7cBoWMLSiRiU5yzUOi+eKxe+8I0d5owVrZ9Ikw4N/Gy+PR3mEgNyq+NRB1U3vkYsdY/A47yXxTNR8=&amp;_app_id=central_doc_viewer&amp;center_on_screen=true&amp;width=950&amp;height=800&amp;_dd2=%26f%3Dsld%26c%3Dtrue%26os%3D138195%26oe%3D138202" TargetMode="External"/><Relationship Id="rId106" Type="http://schemas.openxmlformats.org/officeDocument/2006/relationships/hyperlink" Target="fdsup://factset/Doc%20Viewer%20Single?float_window=true&amp;positioning_strategy=center_on_screen&amp;_doc_docfn=U2FsdGVkX1+MuAA51adaRjhAmYwS1BtoD8LWbhEaBVPSLrSmKXLoLFXgYmaYGfTtkKMGIHChDbiW28LY4qToa/LOb9qx3T53F2GACoTN2hM=&amp;_app_id=central_doc_viewer&amp;center_on_screen=true&amp;width=950&amp;height=800&amp;_dd2=%26f%3Dsld%26c%3Dtrue%26os%3D204401%26oe%3D204407" TargetMode="External"/><Relationship Id="rId127" Type="http://schemas.openxmlformats.org/officeDocument/2006/relationships/hyperlink" Target="fdsup://factset/Doc%20Viewer%20Single?float_window=true&amp;positioning_strategy=center_on_screen&amp;_doc_docfn=U2FsdGVkX18+2svemO+B1w5603/mK2WOPyubB78kHUQLzE5WM4cWa0PtiOy1MPn7UgmC21cWN/DSu4p+SdnKyhy2ReIxj8rIvKIwbc/qGSg=&amp;_app_id=central_doc_viewer&amp;center_on_screen=true&amp;width=950&amp;height=800&amp;_dd2=%26f%3Dsld%26c%3Dtrue%26os%3D205892%26oe%3D205898" TargetMode="External"/><Relationship Id="rId10" Type="http://schemas.openxmlformats.org/officeDocument/2006/relationships/hyperlink" Target="fdsup://factset/Doc%20Viewer%20Single?float_window=true&amp;positioning_strategy=center_on_screen&amp;_doc_docfn=U2FsdGVkX19PDvKsU8ri+QvY8FkuxpW6VhlrSFLDX8haFE4U5xXuwc43QU2fwm9jv7D9b6pL30mgPWFawG7jXqunq3XDs1icX0UyAR7wj24=&amp;_app_id=central_doc_viewer&amp;center_on_screen=true&amp;width=950&amp;height=800&amp;_dd2=%26f%3Dsld%26c%3Dtrue%26os%3D127377%26oe%3D127384" TargetMode="External"/><Relationship Id="rId31" Type="http://schemas.openxmlformats.org/officeDocument/2006/relationships/hyperlink" Target="fdsup://factset/Doc%20Viewer%20Single?float_window=true&amp;positioning_strategy=center_on_screen&amp;_doc_docfn=U2FsdGVkX18ZAjJa6Pa2qQ0KzoUrwkUnswSdXnXYSY2H7vIQHRiLT8+sFeB/L3cN5xAT/dsfwzmUmnmtN8b3tEk3YqZdJMsDng+U0VAfyP0=&amp;_app_id=central_doc_viewer&amp;center_on_screen=true&amp;width=950&amp;height=800&amp;_dd2=%26f%3Dsld%26c%3Dtrue%26os%3D54305%26oe%3D54311" TargetMode="External"/><Relationship Id="rId52" Type="http://schemas.openxmlformats.org/officeDocument/2006/relationships/hyperlink" Target="fdsup://factset/Doc%20Viewer%20Single?float_window=true&amp;positioning_strategy=center_on_screen&amp;_doc_docfn=U2FsdGVkX1+AzEgG6D4YMiRZnPglsrm57Cz40l/6pDvZMN1ejs+ytl5abeOuISUUiNrRgLttAUtm0ZHABGsxVY6ffBUp0NtpLba3HqtONLo=&amp;_app_id=central_doc_viewer&amp;center_on_screen=true&amp;width=950&amp;height=800&amp;_dd2=%26f%3Dsld%26c%3Dtrue%26os%3D61427%26oe%3D61434" TargetMode="External"/><Relationship Id="rId73" Type="http://schemas.openxmlformats.org/officeDocument/2006/relationships/hyperlink" Target="fdsup://factset/Doc%20Viewer%20Single?float_window=true&amp;positioning_strategy=center_on_screen&amp;_doc_docfn=U2FsdGVkX18IKDm/GeH07U9nLbhtAi6L8kBg7ZUeQQ4rwP4kcXpIVvlZa2yOhUGJHgiogPJwO6tRAwUXTClcbCL+ZpwolltNIbNPFAmOXbY=&amp;_app_id=central_doc_viewer&amp;center_on_screen=true&amp;width=950&amp;height=800&amp;_dd2=%26f%3Dsld%26c%3Dtrue%26os%3D55390%26oe%3D55396" TargetMode="External"/><Relationship Id="rId78" Type="http://schemas.openxmlformats.org/officeDocument/2006/relationships/hyperlink" Target="fdsup://factset/Doc%20Viewer%20Single?float_window=true&amp;positioning_strategy=center_on_screen&amp;_doc_docfn=U2FsdGVkX1//+Luc7gSg1geBgjvW1wqg2uOZujdEyS5WHquxeL6odj/0E2Z6IXnlBNfmbaBcPgh6OZQc7xoGgBu9YKTEHi2ZhTxWqmPI0X8=&amp;_app_id=central_doc_viewer&amp;center_on_screen=true&amp;width=950&amp;height=800&amp;_dd2=%26f%3Dsld%26c%3Dtrue%26os%3D123746%26oe%3D123752" TargetMode="External"/><Relationship Id="rId94" Type="http://schemas.openxmlformats.org/officeDocument/2006/relationships/hyperlink" Target="fdsup://factset/Doc%20Viewer%20Single?float_window=true&amp;positioning_strategy=center_on_screen&amp;_doc_docfn=U2FsdGVkX1+KS+HvGwekm+49FBgWanceeLZ8QQTshsXhNh+4AZMNcO2EgoaFiQYuOau440SQKRYvsegUZEOhYM13nY5Eh7G51UL6ExmSCsU=&amp;_app_id=central_doc_viewer&amp;center_on_screen=true&amp;width=950&amp;height=800&amp;_dd2=%26f%3Dsld%26c%3Dtrue%26os%3D58398%26oe%3D58403" TargetMode="External"/><Relationship Id="rId99" Type="http://schemas.openxmlformats.org/officeDocument/2006/relationships/hyperlink" Target="fdsup://factset/Doc%20Viewer%20Single?float_window=true&amp;positioning_strategy=center_on_screen&amp;_doc_docfn=U2FsdGVkX1+Z3rHDdJnlAZbU+WFHVkphZnMLr4O1R2U7BWaSEVt9Uxz5S41RAnlMgwG9v7dAVelFKPNxrpGeL5C6MMW97/kSYqTEwc6J1M4=&amp;_app_id=central_doc_viewer&amp;center_on_screen=true&amp;width=950&amp;height=800&amp;_dd2=%26f%3Dsld%26c%3Dtrue%26os%3D126678%26oe%3D126683" TargetMode="External"/><Relationship Id="rId101" Type="http://schemas.openxmlformats.org/officeDocument/2006/relationships/hyperlink" Target="fdsup://factset/Doc%20Viewer%20Single?float_window=true&amp;positioning_strategy=center_on_screen&amp;_doc_docfn=U2FsdGVkX19aow7gThu8ejMaFuno8OcTVL3JnHncnuJ4zAKKhqnzgzSI7gGdUwUY+5taOyhzvtGbLaTN+06zKTBFsRaaDYKQ3b28x1SyI/g=&amp;_app_id=central_doc_viewer&amp;center_on_screen=true&amp;width=950&amp;height=800&amp;_dd2=%26f%3Dsld%26c%3Dtrue%26os%3D60914%26oe%3D60920" TargetMode="External"/><Relationship Id="rId122" Type="http://schemas.openxmlformats.org/officeDocument/2006/relationships/hyperlink" Target="fdsup://factset/Doc%20Viewer%20Single?float_window=true&amp;positioning_strategy=center_on_screen&amp;_doc_docfn=U2FsdGVkX18dyw1AfahKuourJB960tnkgL06P40utXaEPiZdMkFgMGfKVXGaZm7QUPfk9CljDEQBm6FzhP2g2UtZOf+nK9QChT+8eC/oyfU=&amp;_app_id=central_doc_viewer&amp;center_on_screen=true&amp;width=950&amp;height=800&amp;_dd2=%26f%3Dsld%26c%3Dtrue%26os%3D62506%26oe%3D62512" TargetMode="External"/><Relationship Id="rId143" Type="http://schemas.openxmlformats.org/officeDocument/2006/relationships/hyperlink" Target="fdsup://factset/Doc%20Viewer%20Single?float_window=true&amp;positioning_strategy=center_on_screen&amp;_doc_docfn=U2FsdGVkX18AG19DG/zIOU9YY8R7qWl/vJEYP5EdkOky8i8Shw91AKig48HnD55VfuNsyOSmVOmLH/LIyQdopgUs/bvx1KS7f1H+I01/fWs=&amp;_app_id=central_doc_viewer&amp;center_on_screen=true&amp;width=950&amp;height=800&amp;_dd2=%26f%3Dsld%26c%3Dtrue%26os%3D65486%26oe%3D65491" TargetMode="External"/><Relationship Id="rId148" Type="http://schemas.openxmlformats.org/officeDocument/2006/relationships/hyperlink" Target="fdsup://factset/Doc%20Viewer%20Single?float_window=true&amp;positioning_strategy=center_on_screen&amp;_doc_docfn=U2FsdGVkX19tgBCx1PiREuJ7Og8sKT41K85yG43i9VvdOuExZMAdUDCzohLMlTZFTxSWchkaw3zNwTTho+c3cGEDXZB6LtBVl7tNksn8FCs=&amp;_app_id=central_doc_viewer&amp;center_on_screen=true&amp;width=950&amp;height=800&amp;_dd2=%26f%3Dsld%26c%3Dtrue%26os%3D141935%26oe%3D141941" TargetMode="External"/><Relationship Id="rId164" Type="http://schemas.openxmlformats.org/officeDocument/2006/relationships/hyperlink" Target="fdsup://factset/Doc%20Viewer%20Single?float_window=true&amp;positioning_strategy=center_on_screen&amp;_doc_docfn=U2FsdGVkX189jFQDL+XuXMbAkzVPmnhsflpj/Y4P5v7WptOLbmicC6NnUfpPVRAL9F+tNh0YGiXE0NIINcMkhe9J5Gj/XKxLGfi0i94KhBk=&amp;_app_id=central_doc_viewer&amp;center_on_screen=true&amp;width=950&amp;height=800&amp;_dd2=%26f%3Dsld%26c%3Dtrue%26os%3D63442%26oe%3D63448" TargetMode="External"/><Relationship Id="rId169" Type="http://schemas.openxmlformats.org/officeDocument/2006/relationships/hyperlink" Target="fdsup://factset/Doc%20Viewer%20Single?float_window=true&amp;positioning_strategy=center_on_screen&amp;_doc_docfn=U2FsdGVkX1/NVIvQYPfH0MhDMV+/BLp2pEGPorSsAEi3tFrutwyZhBsvTqU5uPyxXSOL3f7WVCBIExG/IUstdaYyxou2ep0PPBW1ETMh+Ow=&amp;_app_id=central_doc_viewer&amp;center_on_screen=true&amp;width=950&amp;height=800&amp;_dd2=%26f%3Dsld%26c%3Dtrue%26os%3D131234%26oe%3D131240" TargetMode="External"/><Relationship Id="rId185" Type="http://schemas.openxmlformats.org/officeDocument/2006/relationships/hyperlink" Target="fdsup://factset/Doc%20Viewer%20Single?float_window=true&amp;positioning_strategy=center_on_screen&amp;_doc_docfn=U2FsdGVkX18gsMkwJ05aQ0XMaOy+qmSWQpgDcVugpwTQ1TNHelhc951OCvMAbsMFc7V4i3OPKw9UWpfBwJAFCobqLdZe7Re9GxXokSUD2Ow=&amp;_app_id=central_doc_viewer&amp;center_on_screen=true&amp;width=950&amp;height=800&amp;_dd2=%26f%3Dsld%26c%3Dtrue%26os%3D66823%26oe%3D66828" TargetMode="External"/><Relationship Id="rId4" Type="http://schemas.openxmlformats.org/officeDocument/2006/relationships/hyperlink" Target="fdsup://factset/Doc%20Viewer%20Single?float_window=true&amp;positioning_strategy=center_on_screen&amp;_doc_docfn=U2FsdGVkX18lny5+cr94q0N17aiv4WXXpDhw3IXt+mpxi9B51RS1fcmAtRwF8ybUnN9pe4MVPYw8fq/QHkZXoHTGIRHqmiJ7B5NoxNVqvOI=&amp;_app_id=central_doc_viewer&amp;center_on_screen=true&amp;width=950&amp;height=800&amp;_dd2=%26f%3Dsld%26c%3Dtrue%26os%3D54838%26oe%3D54845" TargetMode="External"/><Relationship Id="rId9" Type="http://schemas.openxmlformats.org/officeDocument/2006/relationships/hyperlink" Target="fdsup://factset/Doc%20Viewer%20Single?float_window=true&amp;positioning_strategy=center_on_screen&amp;_doc_docfn=U2FsdGVkX1/ozb31P5Q0XShL9RruQf+g9foibrRbfFTHzJgSdAfN+ohrErBGPVJjYNZaWUpsLWJ1E376bJjTabMSi9XK4MnaEXo6qRjJmz0=&amp;_app_id=central_doc_viewer&amp;center_on_screen=true&amp;width=950&amp;height=800&amp;_dd2=%26f%3Dsld%26c%3Dtrue%26os%3D123383%26oe%3D123390" TargetMode="External"/><Relationship Id="rId180" Type="http://schemas.openxmlformats.org/officeDocument/2006/relationships/hyperlink" Target="fdsup://factset/Doc%20Viewer%20Single?float_window=true&amp;positioning_strategy=center_on_screen&amp;_doc_docfn=U2FsdGVkX18nSeFXl0yiqRR++oWwRfWbUE7P5hp4m8tYSxTGQl6vkUZs9M5yYtdzTJ/VCZS4DHR/546LfxUaQrL6zmdvvPVrbQ5GxPpR1+I=&amp;_app_id=central_doc_viewer&amp;center_on_screen=true&amp;width=950&amp;height=800&amp;_dd2=%26f%3Dsld%26c%3Dtrue%26os%3D133745%26oe%3D133750" TargetMode="External"/><Relationship Id="rId210" Type="http://schemas.openxmlformats.org/officeDocument/2006/relationships/hyperlink" Target="fdsup://factset/Doc%20Viewer%20Single?float_window=true&amp;positioning_strategy=center_on_screen&amp;_doc_docfn=U2FsdGVkX1/pDvimyD52lp9bBgauvElnjNJ2kp8qkdTweDPVnCMsgfgEmcvZ2IwBg3qlUyGs73YBCVsw0saBywUP3hZ3w58eoTU+6DJKmlY=&amp;_app_id=central_doc_viewer&amp;center_on_screen=true&amp;width=950&amp;height=800&amp;_dd2=%26f%3Dsld%26c%3Dtrue%26os%3D136881%26oe%3D136884" TargetMode="External"/><Relationship Id="rId26" Type="http://schemas.openxmlformats.org/officeDocument/2006/relationships/hyperlink" Target="fdsup://factset/Doc%20Viewer%20Single?float_window=true&amp;positioning_strategy=center_on_screen&amp;_doc_docfn=U2FsdGVkX18fA2Nz86E16Mhrfp6CFeH/+ciqxxHduxsiu4tOKJKadmLLxRagbB9jDx/xnr8Oafb/50i9CCgI7qRGz36KT2oCidx3MMHidAQ=&amp;_app_id=central_doc_viewer&amp;center_on_screen=true&amp;width=950&amp;height=800&amp;_dd2=%26f%3Dsld%26c%3Dtrue%26os%3D197535%26oe%3D197541" TargetMode="External"/><Relationship Id="rId47" Type="http://schemas.openxmlformats.org/officeDocument/2006/relationships/hyperlink" Target="fdsup://factset/Doc%20Viewer%20Single?float_window=true&amp;positioning_strategy=center_on_screen&amp;_doc_docfn=U2FsdGVkX190jl/6xMMBYxqsYUQwxuGLVb/tMPS4+W07vgNvv3nzn7njOqPWp8VViSkcUDms1qNcjo8X6jEHb+aagnJX5VdAvNNKTWFqS+s=&amp;_app_id=central_doc_viewer&amp;center_on_screen=true&amp;width=950&amp;height=800&amp;_dd2=%26f%3Dsld%26c%3Dtrue%26os%3D133467%26oe%3D133472" TargetMode="External"/><Relationship Id="rId68" Type="http://schemas.openxmlformats.org/officeDocument/2006/relationships/hyperlink" Target="fdsup://factset/Doc%20Viewer%20Single?float_window=true&amp;positioning_strategy=center_on_screen&amp;_doc_docfn=U2FsdGVkX1+mWLgorUq8BWyju7HL19BRmAe0jsn80FjSQ9EeUbHaHv/JdbSg7TsLXX4ykzlodwI3IONqtp2NrztKSkic4fQ/rWEZSRddvnI=&amp;_app_id=central_doc_viewer&amp;center_on_screen=true&amp;width=950&amp;height=800&amp;_dd2=%26f%3Dsld%26c%3Dtrue%26os%3D122966%26oe%3D122973" TargetMode="External"/><Relationship Id="rId89" Type="http://schemas.openxmlformats.org/officeDocument/2006/relationships/hyperlink" Target="fdsup://factset/Doc%20Viewer%20Single?float_window=true&amp;positioning_strategy=center_on_screen&amp;_doc_docfn=U2FsdGVkX1+2nOCwVMX+n3jl7CEEm3zJ+6LYKqz+4ibP1nZQYBp2kfc8JMKcCGwD+7AbUos2x+CiOXg6bGPBAYOVGTHjmoeIwRG8S3rhf2I=&amp;_app_id=central_doc_viewer&amp;center_on_screen=true&amp;width=950&amp;height=800&amp;_dd2=%26f%3Dsld%26c%3Dtrue%26os%3D125943%26oe%3D125949" TargetMode="External"/><Relationship Id="rId112" Type="http://schemas.openxmlformats.org/officeDocument/2006/relationships/hyperlink" Target="fdsup://factset/Doc%20Viewer%20Single?float_window=true&amp;positioning_strategy=center_on_screen&amp;_doc_docfn=U2FsdGVkX1+gYBwoWNnr17VJmqpu3+SnDModiB6+yn3GJ0As1GpQf8WZHFN+x248FnYS37LdwXOR1HngSW8minOaqa6PnmHLuF2WYTukC9E=&amp;_app_id=central_doc_viewer&amp;center_on_screen=true&amp;width=950&amp;height=800&amp;_dd2=%26f%3Dsld%26c%3Dtrue%26os%3D62944%26oe%3D62951" TargetMode="External"/><Relationship Id="rId133" Type="http://schemas.openxmlformats.org/officeDocument/2006/relationships/hyperlink" Target="fdsup://factset/Doc%20Viewer%20Single?float_window=true&amp;positioning_strategy=center_on_screen&amp;_doc_docfn=U2FsdGVkX18LJvBW/Ft849+j/A96u742VzCRJ0pBjkBoUMQM7Z82NR8tBoxYVmvDxgiyr080gH67UoV4dbOyOfieJXkb0lvgk6aV/mdHBR8=&amp;_app_id=central_doc_viewer&amp;center_on_screen=true&amp;width=950&amp;height=800&amp;_dd2=%26f%3Dsld%26c%3Dtrue%26os%3D64733%26oe%3D64740" TargetMode="External"/><Relationship Id="rId154" Type="http://schemas.openxmlformats.org/officeDocument/2006/relationships/hyperlink" Target="fdsup://factset/Doc%20Viewer%20Single?float_window=true&amp;positioning_strategy=center_on_screen&amp;_doc_docfn=U2FsdGVkX1/yl1GflJs6Ex18apmqr6bkqjrt+Ajm9zhbZe3p3Qr74RnyzM9HTYuxOYj7P5Cn8DFjimWtZRmyto0/+4dEogo+dKjYR7bzR5c=&amp;_app_id=central_doc_viewer&amp;center_on_screen=true&amp;width=950&amp;height=800&amp;_dd2=%26f%3Dsld%26c%3Dtrue%26os%3D62588%26oe%3D62593" TargetMode="External"/><Relationship Id="rId175" Type="http://schemas.openxmlformats.org/officeDocument/2006/relationships/hyperlink" Target="fdsup://factset/Doc%20Viewer%20Single?float_window=true&amp;positioning_strategy=center_on_screen&amp;_doc_docfn=U2FsdGVkX182krF+eGVMDulBIwL7KzkcUgd3ALwJ9rgOr0vg+Fu8g2mwbhmzRjkFR+erYN/ik5YeSylgI4A0NqXFNXLIB+9BhqU8vM+7vh8=&amp;_app_id=central_doc_viewer&amp;center_on_screen=true&amp;width=950&amp;height=800&amp;_dd2=%26f%3Dsld%26c%3Dtrue%26os%3D66054%26oe%3D66059" TargetMode="External"/><Relationship Id="rId196" Type="http://schemas.openxmlformats.org/officeDocument/2006/relationships/hyperlink" Target="fdsup://factset/Doc%20Viewer%20Single?float_window=true&amp;positioning_strategy=center_on_screen&amp;_doc_docfn=U2FsdGVkX18v6U+NczG/rarKDpJ3pp67+ZO95akONeTpeuqjlRK5S1yRcmj7SsQ5Y6rB231sPif6rgMf7w3FuTOE3gG7KALbhiGZ+gmGtgU=&amp;_app_id=central_doc_viewer&amp;center_on_screen=true&amp;width=950&amp;height=800&amp;_dd2=%26f%3Dsld%26c%3Dtrue%26os%3D131086%26oe%3D131089" TargetMode="External"/><Relationship Id="rId200" Type="http://schemas.openxmlformats.org/officeDocument/2006/relationships/hyperlink" Target="fdsup://factset/Doc%20Viewer%20Single?float_window=true&amp;positioning_strategy=center_on_screen&amp;_doc_docfn=U2FsdGVkX18bihXq4t5cHNnHm19LGSyAb+/gjNqeQ+4wkGo+dRReRkAoKvAHUETWQx5IIYg41PkA5MfFUTkpesmL0u9zL+UGoDeBbXRVzeo=&amp;_app_id=central_doc_viewer&amp;center_on_screen=true&amp;width=950&amp;height=800&amp;_dd2=%26f%3Dsld%26c%3Dtrue%26os%3D135237%26oe%3D135240" TargetMode="External"/><Relationship Id="rId16" Type="http://schemas.openxmlformats.org/officeDocument/2006/relationships/hyperlink" Target="fdsup://factset/Doc%20Viewer%20Single?float_window=true&amp;positioning_strategy=center_on_screen&amp;_doc_docfn=U2FsdGVkX1/+sbfbAJiVX8NnVrJlNw9ZrwV5aZY5aUFFvFkj6lvW+euvYNuinKMgFcEgF8VxDns18juIhI18/v9LmihdET2ORw5XQPf1KPI=&amp;_app_id=central_doc_viewer&amp;center_on_screen=true&amp;width=950&amp;height=800&amp;_dd2=%26f%3Dsld%26c%3Dtrue%26os%3D196831%26oe%3D196838"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fdsup://factset/Doc%20Viewer%20Single?float_window=true&amp;positioning_strategy=center_on_screen&amp;_doc_docfn=U2FsdGVkX18RsQWxlLRS83baJBUMA6v5pHhiku7rkchgMMxNt/kGjMIZ/AlSy6xtBCvIGyL6ZpHFzicZoAg+wO7RdZTuNgKPen2RDiebU9c=&amp;_app_id=central_doc_viewer&amp;center_on_screen=true&amp;width=950&amp;height=800&amp;_dd2=%26f%3Dsld%26c%3Dtrue%26os%3D178467%26oe%3D178475" TargetMode="External"/><Relationship Id="rId299" Type="http://schemas.openxmlformats.org/officeDocument/2006/relationships/hyperlink" Target="fdsup://factset/Doc%20Viewer%20Single?float_window=true&amp;positioning_strategy=center_on_screen&amp;_doc_docfn=U2FsdGVkX1/S1/XPdQLWIgHEtARuoZZD7kJDlg1ebXdW6xTU6KG+cAqPlaQagoUoOH/nVAv49IKO8eNlSYqGYK82WgvMYNZZ64xi51FCz1Q=&amp;_app_id=central_doc_viewer&amp;center_on_screen=true&amp;width=950&amp;height=800&amp;_dd2=%26f%3Dsld%26c%3Dtrue%26os%3D275121%26oe%3D275127" TargetMode="External"/><Relationship Id="rId303" Type="http://schemas.openxmlformats.org/officeDocument/2006/relationships/hyperlink" Target="fdsup://factset/Doc%20Viewer%20Single?float_window=true&amp;positioning_strategy=center_on_screen&amp;_doc_docfn=U2FsdGVkX1/7UydzBtwrUAObYieqwAN/zslyKB0SXY8aId97swrH+ZNUyNAU9aUS5OVYzqbpAS6Q8qy0h8wyBWv2S0f/CrXY7SfkFK9MpY0=&amp;_app_id=central_doc_viewer&amp;center_on_screen=true&amp;width=950&amp;height=800&amp;_dd2=%26f%3Dsld%26c%3Dtrue%26os%3D187029%26oe%3D187033" TargetMode="External"/><Relationship Id="rId21" Type="http://schemas.openxmlformats.org/officeDocument/2006/relationships/hyperlink" Target="fdsup://factset/Doc%20Viewer%20Single?float_window=true&amp;positioning_strategy=center_on_screen&amp;_doc_docfn=U2FsdGVkX1/Em2XkO5popG/1haE9iye+t86TZpsxZQBBnzokSplJBvDvJGFFtaWmqBC5Wem5Tu9Yl6/7KUzR+To4PqDgVmOgqwTM3BN/lGA=&amp;_app_id=central_doc_viewer&amp;center_on_screen=true&amp;width=950&amp;height=800&amp;_dd2=%26f%3Dsld%26c%3Dtrue%26os%3D152806%26oe%3D152811" TargetMode="External"/><Relationship Id="rId42" Type="http://schemas.openxmlformats.org/officeDocument/2006/relationships/hyperlink" Target="fdsup://factset/Doc%20Viewer%20Single?float_window=true&amp;positioning_strategy=center_on_screen&amp;_doc_docfn=U2FsdGVkX197MQq94odhIOe4V1c3d7+m+hN4rGhJPaTm3qoGU37jRmpE/HFM1n6SWsDYXLFI8cfvaCMUMKhkXHogOL2TE1ZceBNMaKfWqdM=&amp;_app_id=central_doc_viewer&amp;center_on_screen=true&amp;width=950&amp;height=800&amp;_dd2=%26f%3Dsld%26c%3Dtrue%26os%3D155112%26oe%3D155117" TargetMode="External"/><Relationship Id="rId63" Type="http://schemas.openxmlformats.org/officeDocument/2006/relationships/hyperlink" Target="fdsup://factset/Doc%20Viewer%20Single?float_window=true&amp;positioning_strategy=center_on_screen&amp;_doc_docfn=U2FsdGVkX1+7tSArleDpDowO99TMoHECuCP4QQ4lGjX5GXRYpxWw6UjHa3kG80Tp742DLtqq6c2EGxgflknRiXLWIOH/M4j8RVt5sG6gIM4=&amp;_app_id=central_doc_viewer&amp;center_on_screen=true&amp;width=950&amp;height=800&amp;_dd2=%26f%3Dsld%26c%3Dtrue%26os%3D156333%26oe%3D156338" TargetMode="External"/><Relationship Id="rId84" Type="http://schemas.openxmlformats.org/officeDocument/2006/relationships/hyperlink" Target="fdsup://factset/Doc%20Viewer%20Single?float_window=true&amp;positioning_strategy=center_on_screen&amp;_doc_docfn=U2FsdGVkX1/DDDdkIfqwRY84n1gNs9fpEmZucYP/+dnN6k9rr3DmiphPbiX/TzjiDvTTq47Qc4QQIEdPA1OaBk9LutWLHDE079gR0G3uUJk=&amp;_app_id=central_doc_viewer&amp;center_on_screen=true&amp;width=950&amp;height=800&amp;_dd2=%26f%3Dsld%26c%3Dtrue%26os%3D162235%26oe%3D162240" TargetMode="External"/><Relationship Id="rId138" Type="http://schemas.openxmlformats.org/officeDocument/2006/relationships/hyperlink" Target="fdsup://factset/Doc%20Viewer%20Single?float_window=true&amp;positioning_strategy=center_on_screen&amp;_doc_docfn=U2FsdGVkX1/ofALTnkwl8T1Fub0ItaFRUqEXWU5apKheccP0R2Imdp27eH6CITpSeyYVbcMvPDPlouJFI+kmEDqbj9TulPQz5greP4A2F4Q=&amp;_app_id=central_doc_viewer&amp;center_on_screen=true&amp;width=950&amp;height=800&amp;_dd2=%26f%3Dsld%26c%3Dtrue%26os%3D252460%26oe%3D252465" TargetMode="External"/><Relationship Id="rId159" Type="http://schemas.openxmlformats.org/officeDocument/2006/relationships/hyperlink" Target="fdsup://factset/Doc%20Viewer%20Single?float_window=true&amp;positioning_strategy=center_on_screen&amp;_doc_docfn=U2FsdGVkX1+UEJdhB5zbpFbnyIv8IhtsXu+4U7XkM7+iqxdozFnYSS5rwuj+nRWhk70WljIhUHzfVK/ppKyj4VfBEuyimNdw/xp/81LWHC8=&amp;_app_id=central_doc_viewer&amp;center_on_screen=true&amp;width=950&amp;height=800&amp;_dd2=%26f%3Dsld%26c%3Dtrue%26os%3D432512%26oe%3D432517" TargetMode="External"/><Relationship Id="rId324" Type="http://schemas.openxmlformats.org/officeDocument/2006/relationships/hyperlink" Target="fdsup://factset/Doc%20Viewer%20Single?float_window=true&amp;positioning_strategy=center_on_screen&amp;_doc_docfn=U2FsdGVkX1+m4gduTvkGbOJqVeQZ5esUjW9Vrhy+pZ0XADYe99b3QPCI5131iVnUWKVVNXSbwRiVlxKcVQu3meuwAH+VDLeHUeU2mFxqXUs=&amp;_app_id=central_doc_viewer&amp;center_on_screen=true&amp;width=950&amp;height=800&amp;_dd2=%26f%3Dsld%26c%3Dtrue%26os%3D187877%26oe%3D187884" TargetMode="External"/><Relationship Id="rId345" Type="http://schemas.openxmlformats.org/officeDocument/2006/relationships/hyperlink" Target="fdsup://factset/Doc%20Viewer%20Single?float_window=true&amp;positioning_strategy=center_on_screen&amp;_doc_docfn=U2FsdGVkX19hW7hqhmEiKh/CHe97xd5SZ8L+dt1CAeg0+3sBiJVG123k24zRnysgKVtFJ2z+N9iXuQswIqWSiGWAcqgrKP8uifOZDjOtk48=&amp;_app_id=central_doc_viewer&amp;center_on_screen=true&amp;width=950&amp;height=800&amp;_dd2=%26f%3Dsld%26c%3Dtrue%26os%3D265234%26oe%3D265240" TargetMode="External"/><Relationship Id="rId366" Type="http://schemas.openxmlformats.org/officeDocument/2006/relationships/hyperlink" Target="fdsup://factset/Doc%20Viewer%20Single?float_window=true&amp;positioning_strategy=center_on_screen&amp;_doc_docfn=U2FsdGVkX1+XIK+9sqf2/wK0vYW3eKr5cdAGgkAQs9R01rGse+Va+PjfMQGnfXkI6QB6ktGA79F3VaQeVrTaswzIAaltYpWX3EGTn/+mdm0=&amp;_app_id=central_doc_viewer&amp;center_on_screen=true&amp;width=950&amp;height=800&amp;_dd2=%26f%3Dsld%26c%3Dtrue%26os%3D448040%26oe%3D448045" TargetMode="External"/><Relationship Id="rId170" Type="http://schemas.openxmlformats.org/officeDocument/2006/relationships/hyperlink" Target="fdsup://factset/Doc%20Viewer%20Single?float_window=true&amp;positioning_strategy=center_on_screen&amp;_doc_docfn=U2FsdGVkX1/WTOaN62uVNRrmfrmgpDhnYEzA4IXwNw4FrAbrTw8bfsNIrBMnXM+RGfzYIpLb1VIr+rtUaghLqLnDrIEJbfFgdDWSDMvkCSk=&amp;_app_id=central_doc_viewer&amp;center_on_screen=true&amp;width=950&amp;height=800&amp;_dd2=%26f%3Dsld%26c%3Dtrue%26os%3D269517%26oe%3D269524" TargetMode="External"/><Relationship Id="rId191" Type="http://schemas.openxmlformats.org/officeDocument/2006/relationships/hyperlink" Target="fdsup://factset/Doc%20Viewer%20Single?float_window=true&amp;positioning_strategy=center_on_screen&amp;_doc_docfn=U2FsdGVkX19e0YgTLq2vyOL+ML1IG/Vh+eI6Rt6Q14I49mlK0oXYc1Jm8xqU7c73GP8CcnOUDfOd8nUfmN4eJHUwvmtIBXHyvAKj6O70Ls8=&amp;_app_id=central_doc_viewer&amp;center_on_screen=true&amp;width=950&amp;height=800&amp;_dd2=%26f%3Dsld%26c%3Dtrue%26os%3D255362%26oe%3D255367" TargetMode="External"/><Relationship Id="rId205" Type="http://schemas.openxmlformats.org/officeDocument/2006/relationships/hyperlink" Target="fdsup://factset/Doc%20Viewer%20Single?float_window=true&amp;positioning_strategy=center_on_screen&amp;_doc_docfn=U2FsdGVkX1/LLHFObVhjeEAg7iCXfRrqV1uy4qVEtYFE+ogyF+w+HTaiXRaDrL8TXkK2HHV9S8ObL46IPzQPc7NpeJ8yC7Gl5P2+Bmv/wls=&amp;_app_id=central_doc_viewer&amp;center_on_screen=true&amp;width=950&amp;height=800&amp;_dd2=%26f%3Dsld%26c%3Dtrue%26os%3D179636%26oe%3D179643" TargetMode="External"/><Relationship Id="rId226" Type="http://schemas.openxmlformats.org/officeDocument/2006/relationships/hyperlink" Target="fdsup://factset/Doc%20Viewer%20Single?float_window=true&amp;positioning_strategy=center_on_screen&amp;_doc_docfn=U2FsdGVkX18HXsAELfjvaNN55gdLMjqLago2qlZRsF9FD2DB402sNVM1jtzWNBq/ney/dSgJkNW+DYEQ1YMSpYcDlP5ih6oTp6NU6fH2IG4=&amp;_app_id=central_doc_viewer&amp;center_on_screen=true&amp;width=950&amp;height=800&amp;_dd2=%26f%3Dsld%26c%3Dtrue%26os%3D177326%26oe%3D177333" TargetMode="External"/><Relationship Id="rId247" Type="http://schemas.openxmlformats.org/officeDocument/2006/relationships/hyperlink" Target="fdsup://factset/Doc%20Viewer%20Single?float_window=true&amp;positioning_strategy=center_on_screen&amp;_doc_docfn=U2FsdGVkX1/6glF95GJzlwqMPIbJpNtgrDPU+nKoqhnTWX2R1VYYXY5+Dcv/a9OT11sB4pU7dsWTgjkqlwXz/mfFrbHND1TQCdSXtODG0Tc=&amp;_app_id=central_doc_viewer&amp;center_on_screen=true&amp;width=950&amp;height=800&amp;_dd2=%26f%3Dsld%26c%3Dtrue%26os%3D184501%26oe%3D184506" TargetMode="External"/><Relationship Id="rId107" Type="http://schemas.openxmlformats.org/officeDocument/2006/relationships/hyperlink" Target="fdsup://factset/Doc%20Viewer%20Single?float_window=true&amp;positioning_strategy=center_on_screen&amp;_doc_docfn=U2FsdGVkX19D4owiVx8aNTk+ekhv1sBGwjvDT6TB7UHR+uSFcakwJx5oJ4OOb9WOGXhgIowAxwbe18OBGk7MqOoBmNJvXx2jjOOPSHVxXRU=&amp;_app_id=central_doc_viewer&amp;center_on_screen=true&amp;width=950&amp;height=800&amp;_dd2=%26f%3Dsld%26c%3Dtrue%26os%3D171347%26oe%3D171349" TargetMode="External"/><Relationship Id="rId268" Type="http://schemas.openxmlformats.org/officeDocument/2006/relationships/hyperlink" Target="fdsup://factset/Doc%20Viewer%20Single?float_window=true&amp;positioning_strategy=center_on_screen&amp;_doc_docfn=U2FsdGVkX19M3qX6mlITr0oUmdRcZlNc002O7gONlYDfU5IYStdDYwJqbTGqNkkTJFdqWnWNzcKCLj6dFBSofv54+YImIQiqja4UKV8x5mk=&amp;_app_id=central_doc_viewer&amp;center_on_screen=true&amp;width=950&amp;height=800&amp;_dd2=%26f%3Dsld%26c%3Dtrue%26os%3D264633%26oe%3D264640" TargetMode="External"/><Relationship Id="rId289" Type="http://schemas.openxmlformats.org/officeDocument/2006/relationships/hyperlink" Target="fdsup://factset/Doc%20Viewer%20Single?float_window=true&amp;positioning_strategy=center_on_screen&amp;_doc_docfn=U2FsdGVkX1/mDzboZ2k1XL1nNglK4owkOqVT6eqZaHTVsCJmBXqqvX9qFEZRjcxXDmAR5FwfZGMj4yhnIFXvBidF3Q7LVennZUPx33i7JvI=&amp;_app_id=central_doc_viewer&amp;center_on_screen=true&amp;width=950&amp;height=800&amp;_dd2=%26f%3Dsld%26c%3Dtrue%26os%3D274354%26oe%3D274359" TargetMode="External"/><Relationship Id="rId11" Type="http://schemas.openxmlformats.org/officeDocument/2006/relationships/hyperlink" Target="fdsup://factset/Doc%20Viewer%20Single?float_window=true&amp;positioning_strategy=center_on_screen&amp;_doc_docfn=U2FsdGVkX19jUDwNSOSV4pD2W3bJbxVlC2OgKmFKZsrn+s5THoIS2eh8QRI/S9oCrvhq+z5IisMLqv1hIXjqWp+vX9ucQcetaBhBPuNrIhI=&amp;_app_id=central_doc_viewer&amp;center_on_screen=true&amp;width=950&amp;height=800&amp;_dd2=%26f%3Dsld%26c%3Dtrue%26os%3D151690%26oe%3D151695" TargetMode="External"/><Relationship Id="rId32" Type="http://schemas.openxmlformats.org/officeDocument/2006/relationships/hyperlink" Target="fdsup://factset/Doc%20Viewer%20Single?float_window=true&amp;positioning_strategy=center_on_screen&amp;_doc_docfn=U2FsdGVkX1/pjHUr/6lAMEJye/pbAt30/PcB3UikO25pW0nTL2cc0PCXlRorEG2P0sG6Kn/Fo2hMhvJUsNbgyvJ3MLMrGzo/ReQbhkrEELQ=&amp;_app_id=central_doc_viewer&amp;center_on_screen=true&amp;width=950&amp;height=800&amp;_dd2=%26f%3Dsld%26c%3Dtrue%26os%3D157861%26oe%3D157863" TargetMode="External"/><Relationship Id="rId53" Type="http://schemas.openxmlformats.org/officeDocument/2006/relationships/hyperlink" Target="fdsup://factset/Doc%20Viewer%20Single?float_window=true&amp;positioning_strategy=center_on_screen&amp;_doc_docfn=U2FsdGVkX1+Z9k0e2Cz/V4hVLW9ERM73nM69lQ/x239nTWzmI7c9oAZOnTi1/QDsiLt1Z1NqwZF/+JVGrUfTFfnGD1vMTIPitsupz/BiP/w=&amp;_app_id=central_doc_viewer&amp;center_on_screen=true&amp;width=950&amp;height=800&amp;_dd2=%26f%3Dsld%26c%3Dtrue%26os%3D158639%26oe%3D158642" TargetMode="External"/><Relationship Id="rId74" Type="http://schemas.openxmlformats.org/officeDocument/2006/relationships/hyperlink" Target="fdsup://factset/Doc%20Viewer%20Single?float_window=true&amp;positioning_strategy=center_on_screen&amp;_doc_docfn=U2FsdGVkX1/b7RwDgfSGDBC/tCABs4TlyX+xza2WE3Gm90V6ZXAl9y6ugALCg9KvC56hwZ0bYCDmwJPBKITU5YGbKQvBxZ45d1s7p8jzL1Y=&amp;_app_id=central_doc_viewer&amp;center_on_screen=true&amp;width=950&amp;height=800&amp;_dd2=%26f%3Dsld%26c%3Dtrue%26os%3D161409%26oe%3D161416" TargetMode="External"/><Relationship Id="rId128" Type="http://schemas.openxmlformats.org/officeDocument/2006/relationships/hyperlink" Target="fdsup://factset/Doc%20Viewer%20Single?float_window=true&amp;positioning_strategy=center_on_screen&amp;_doc_docfn=U2FsdGVkX19R+BnsDcXyfNKAI9K5W3y40oWEvGjK/Gyj1BEqO686no+HddYcGjbm0JFLAKo1k133nVa3xsw4CpPIuuOUQFry1jaz+E168Go=&amp;_app_id=central_doc_viewer&amp;center_on_screen=true&amp;width=950&amp;height=800&amp;_dd2=%26f%3Dsld%26c%3Dtrue%26os%3D250903%26oe%3D250911" TargetMode="External"/><Relationship Id="rId149" Type="http://schemas.openxmlformats.org/officeDocument/2006/relationships/hyperlink" Target="fdsup://factset/Doc%20Viewer%20Single?float_window=true&amp;positioning_strategy=center_on_screen&amp;_doc_docfn=U2FsdGVkX18l9CRdd7drhZ46RMBW3W7Z+EAPzvOno9CIoCFzd54uu2bpCIyMVw2XjtFczBCciEoj5bNyuD1Kocd2rbklFrt7vu/reCqEjwY=&amp;_app_id=central_doc_viewer&amp;center_on_screen=true&amp;width=950&amp;height=800&amp;_dd2=%26f%3Dsld%26c%3Dtrue%26os%3D433316%26oe%3D433321" TargetMode="External"/><Relationship Id="rId314" Type="http://schemas.openxmlformats.org/officeDocument/2006/relationships/hyperlink" Target="fdsup://factset/Doc%20Viewer%20Single?float_window=true&amp;positioning_strategy=center_on_screen&amp;_doc_docfn=U2FsdGVkX1/9Kx4DOzcBa1L+I5l8Jl9tYvn5s5H6e447SYQR4yWTYggdZxlZR7GZXnizEY8UlcyEriTzvH1zDwRETsH9/GlvRupaFPL7778=&amp;_app_id=central_doc_viewer&amp;center_on_screen=true&amp;width=950&amp;height=800&amp;_dd2=%26f%3Dsld%26c%3Dtrue%26os%3D264461%26oe%3D264464" TargetMode="External"/><Relationship Id="rId335" Type="http://schemas.openxmlformats.org/officeDocument/2006/relationships/hyperlink" Target="fdsup://factset/Doc%20Viewer%20Single?float_window=true&amp;positioning_strategy=center_on_screen&amp;_doc_docfn=U2FsdGVkX1/EYhsxBztWLfeWI1nMZsvzqgfWhFx0KoGugtifD6BekwOLsNMNpysDzQIv34kM2M5qZU0EFQdEyxo/zeTPJ+SGgXjUnX7g3n4=&amp;_app_id=central_doc_viewer&amp;center_on_screen=true&amp;width=950&amp;height=800&amp;_dd2=%26f%3Dsld%26c%3Dtrue%26os%3D1734636%26oe%3D1734642" TargetMode="External"/><Relationship Id="rId356" Type="http://schemas.openxmlformats.org/officeDocument/2006/relationships/hyperlink" Target="fdsup://factset/Doc%20Viewer%20Single?float_window=true&amp;positioning_strategy=center_on_screen&amp;_doc_docfn=U2FsdGVkX1/Zbd+4Af2jJRHBG8sj0JrXs7gr10R/0HLQcuyrlTG/beYIf8y0uwEyugJ/CvH/HhmCU5DAVCBFf9UpCT5/EHJk5FACNZ999CI=&amp;_app_id=central_doc_viewer&amp;center_on_screen=true&amp;width=950&amp;height=800&amp;_dd2=%26f%3Dsld%26c%3Dtrue%26os%3D447342%26oe%3D447347" TargetMode="External"/><Relationship Id="rId5" Type="http://schemas.openxmlformats.org/officeDocument/2006/relationships/hyperlink" Target="fdsup://factset/Doc%20Viewer%20Single?float_window=true&amp;positioning_strategy=center_on_screen&amp;_doc_docfn=U2FsdGVkX1/Kdhk/lvlfyEUj+dDPon/JSsq9v7MDROsVmbkIcW3iDY54pteypuBBWb0ji6srVlvwqucMYFaWI1FIExy21/CbR8CGPk+oYO0=&amp;_app_id=central_doc_viewer&amp;center_on_screen=true&amp;width=950&amp;height=800&amp;_dd2=%26f%3Dsld%26c%3Dtrue%26os%3D249816%26oe%3D249822" TargetMode="External"/><Relationship Id="rId95" Type="http://schemas.openxmlformats.org/officeDocument/2006/relationships/hyperlink" Target="fdsup://factset/Doc%20Viewer%20Single?float_window=true&amp;positioning_strategy=center_on_screen&amp;_doc_docfn=U2FsdGVkX19bTfcjdoTTwmzwmvn6KaJXUADIR6yq1TK/YnmKwICQXXdxvj6P8VjDilMr3wUvwNLT6vPksmnY6F2Dxb5pDKlnVXf8iJpYdzk=&amp;_app_id=central_doc_viewer&amp;center_on_screen=true&amp;width=950&amp;height=800&amp;_dd2=%26f%3Dsld%26c%3Dtrue%26os%3D170518%26oe%3D170521" TargetMode="External"/><Relationship Id="rId160" Type="http://schemas.openxmlformats.org/officeDocument/2006/relationships/hyperlink" Target="fdsup://factset/Doc%20Viewer%20Single?float_window=true&amp;positioning_strategy=center_on_screen&amp;_doc_docfn=U2FsdGVkX18WzmFeM+mp4+W0/SzCaBtttsPFswN9dvI2nEkWhyV+JIq0vEarX+ri7QLWM7yJ6lO2EGScvOZgVXdnllpvxKypCK75n/GfclQ=&amp;_app_id=central_doc_viewer&amp;center_on_screen=true&amp;width=950&amp;height=800&amp;_dd2=%26f%3Dsld%26c%3Dtrue%26os%3D267854%26oe%3D267859" TargetMode="External"/><Relationship Id="rId181" Type="http://schemas.openxmlformats.org/officeDocument/2006/relationships/hyperlink" Target="fdsup://factset/Doc%20Viewer%20Single?float_window=true&amp;positioning_strategy=center_on_screen&amp;_doc_docfn=U2FsdGVkX18FIYEB7ddkyeKMFnvNRDLR9MVZaCOwT9muEp+X2St0Gxm1XPuEoLW06OoN5ZzXWNyued7aTO84mvlrZu97D/mKe8Qt0R+XeEE=&amp;_app_id=central_doc_viewer&amp;center_on_screen=true&amp;width=950&amp;height=800&amp;_dd2=%26f%3Dsld%26c%3Dtrue%26os%3D435750%26oe%3D435755" TargetMode="External"/><Relationship Id="rId216" Type="http://schemas.openxmlformats.org/officeDocument/2006/relationships/hyperlink" Target="fdsup://factset/Doc%20Viewer%20Single?float_window=true&amp;positioning_strategy=center_on_screen&amp;_doc_docfn=U2FsdGVkX1+rqdH+sqrJNaKFnZdgGhBTdn65Q8KjIsCB/vJ0AWFHXtER/6UuRFW1ATTHY5dpduHu9HTBbhg5RbSN7zlWMTH2sDUouEJ+6qw=&amp;_app_id=central_doc_viewer&amp;center_on_screen=true&amp;width=950&amp;height=800&amp;_dd2=%26f%3Dsld%26c%3Dtrue%26os%3D176525%26oe%3D176532" TargetMode="External"/><Relationship Id="rId237" Type="http://schemas.openxmlformats.org/officeDocument/2006/relationships/hyperlink" Target="fdsup://factset/Doc%20Viewer%20Single?float_window=true&amp;positioning_strategy=center_on_screen&amp;_doc_docfn=U2FsdGVkX18CV3D6RRKQnB/CDib/Wd+LrhPuAz1tdTNKB6Hbg/+9k2FvUp3T7G3OptoFf0c67mN5ct25bfJ0zhOwcPVVnER3uwE8bfD+2ts=&amp;_app_id=central_doc_viewer&amp;center_on_screen=true&amp;width=950&amp;height=800&amp;_dd2=%26f%3Dsld%26c%3Dtrue%26os%3D181271%26oe%3D181274" TargetMode="External"/><Relationship Id="rId258" Type="http://schemas.openxmlformats.org/officeDocument/2006/relationships/hyperlink" Target="fdsup://factset/Doc%20Viewer%20Single?float_window=true&amp;positioning_strategy=center_on_screen&amp;_doc_docfn=U2FsdGVkX1/BArckvyIwtheTK3M6n4HgmruSeJeGaBLr9NC42gcSTQvPzlI1NYad4KadbCWQrEa3ORlJ7hMtClxJxv9/0DKXfvetozmNf+w=&amp;_app_id=central_doc_viewer&amp;center_on_screen=true&amp;width=950&amp;height=800&amp;_dd2=%26f%3Dsld%26c%3Dtrue%26os%3D182187%26oe%3D182192" TargetMode="External"/><Relationship Id="rId279" Type="http://schemas.openxmlformats.org/officeDocument/2006/relationships/hyperlink" Target="fdsup://factset/Doc%20Viewer%20Single?float_window=true&amp;positioning_strategy=center_on_screen&amp;_doc_docfn=U2FsdGVkX1/7I+tpVZ86uEs5HIRX3eowg6z9f6dnlOzzTgAVQNXrMlPmMjjGHXYo5Rnqm/xmsPqy5OwQlQikkhHKmO8KO67KTn7Wp9PCS1E=&amp;_app_id=central_doc_viewer&amp;center_on_screen=true&amp;width=950&amp;height=800&amp;_dd2=%26f%3Dsld%26c%3Dtrue%26os%3D273584%26oe%3D273591" TargetMode="External"/><Relationship Id="rId22" Type="http://schemas.openxmlformats.org/officeDocument/2006/relationships/hyperlink" Target="fdsup://factset/Doc%20Viewer%20Single?float_window=true&amp;positioning_strategy=center_on_screen&amp;_doc_docfn=U2FsdGVkX1/Kaj22YaZvi+hkFDt6UVPqBmY6dIlhlYn7X2fJHmlz1ObMm4pBL8PWE0z6MMkcVQf5HG9o/cr3nY5fA/CVlsexgCYXzDu/2vY=&amp;_app_id=central_doc_viewer&amp;center_on_screen=true&amp;width=950&amp;height=800&amp;_dd2=%26f%3Dsld%26c%3Dtrue%26os%3D157079%26oe%3D157084" TargetMode="External"/><Relationship Id="rId43" Type="http://schemas.openxmlformats.org/officeDocument/2006/relationships/hyperlink" Target="fdsup://factset/Doc%20Viewer%20Single?float_window=true&amp;positioning_strategy=center_on_screen&amp;_doc_docfn=U2FsdGVkX1+QAmrGqUrDrVercybRclVmKkjq1I4godLECe88qqV8MWn21VFrcaq22fzDL/+Aa/M31BKOEzX1CBlSm6f6DgrucSuHg5H/sNQ=&amp;_app_id=central_doc_viewer&amp;center_on_screen=true&amp;width=950&amp;height=800&amp;_dd2=%26f%3Dsld%26c%3Dtrue%26os%3D159386%26oe%3D159390" TargetMode="External"/><Relationship Id="rId64" Type="http://schemas.openxmlformats.org/officeDocument/2006/relationships/hyperlink" Target="fdsup://factset/Doc%20Viewer%20Single?float_window=true&amp;positioning_strategy=center_on_screen&amp;_doc_docfn=U2FsdGVkX1+OhikuFWSEueA/d6er954YdtJlXNKFIGMHZmZPzR4IQoZ6ZoqvXpgNgilYgwxMoGRcfs+kwEn+zMAryFTUAZsWSUNUmKjsJ/8=&amp;_app_id=central_doc_viewer&amp;center_on_screen=true&amp;width=950&amp;height=800&amp;_dd2=%26f%3Dsld%26c%3Dtrue%26os%3D160609%26oe%3D160616" TargetMode="External"/><Relationship Id="rId118" Type="http://schemas.openxmlformats.org/officeDocument/2006/relationships/hyperlink" Target="fdsup://factset/Doc%20Viewer%20Single?float_window=true&amp;positioning_strategy=center_on_screen&amp;_doc_docfn=U2FsdGVkX194SIWCLa5/3ZlQ3sy7o2yRcfjBzC5q2CL0OGkuSe4SqPoaSfGP9sgvdMs3UsK5NU63rgci7EPlgCzoEqtXMYAU06+A+7agwyU=&amp;_app_id=central_doc_viewer&amp;center_on_screen=true&amp;width=950&amp;height=800&amp;_dd2=%26f%3Dsld%26c%3Dtrue%26os%3D255690%26oe%3D255698" TargetMode="External"/><Relationship Id="rId139" Type="http://schemas.openxmlformats.org/officeDocument/2006/relationships/hyperlink" Target="fdsup://factset/Doc%20Viewer%20Single?float_window=true&amp;positioning_strategy=center_on_screen&amp;_doc_docfn=U2FsdGVkX1+2TsoKqsntjVzvOVoJcqpA4NWGvpQL1ShH5LkH5Z5ENQs2vztycE1xuqrdrjbrWVITUsaUPa7crEzJV14M8BVZhv1G7ASnsqk=&amp;_app_id=central_doc_viewer&amp;center_on_screen=true&amp;width=950&amp;height=800&amp;_dd2=%26f%3Dsld%26c%3Dtrue%26os%3D433316%26oe%3D433321" TargetMode="External"/><Relationship Id="rId290" Type="http://schemas.openxmlformats.org/officeDocument/2006/relationships/hyperlink" Target="fdsup://factset/Doc%20Viewer%20Single?float_window=true&amp;positioning_strategy=center_on_screen&amp;_doc_docfn=U2FsdGVkX1/gA8gQ040ZrImubCQHDQ2obDvNNM9wSvSi3oIQfhyHBpMW2PMBYCL1uEUPeNoRBhath8RINtZmxD2oE64AjdkPwz29eXibDB0=&amp;_app_id=central_doc_viewer&amp;center_on_screen=true&amp;width=950&amp;height=800&amp;_dd2=%26f%3Dsld%26c%3Dtrue%26os%3D173693%26oe%3D173699" TargetMode="External"/><Relationship Id="rId304" Type="http://schemas.openxmlformats.org/officeDocument/2006/relationships/hyperlink" Target="fdsup://factset/Doc%20Viewer%20Single?float_window=true&amp;positioning_strategy=center_on_screen&amp;_doc_docfn=U2FsdGVkX1/gcvPopJpxENUR0cLNkDXeXsTl86fkJ2aAwoU+LlDtNGN2uy4c3YLFxIQGhCVDksKLzYAcGYrzDj+LJ4P93ZtwwPdbYTi+oaU=&amp;_app_id=central_doc_viewer&amp;center_on_screen=true&amp;width=950&amp;height=800&amp;_dd2=%26f%3Dsld%26c%3Dtrue%26os%3D263668%26oe%3D263672" TargetMode="External"/><Relationship Id="rId325" Type="http://schemas.openxmlformats.org/officeDocument/2006/relationships/hyperlink" Target="fdsup://factset/Doc%20Viewer%20Single?float_window=true&amp;positioning_strategy=center_on_screen&amp;_doc_docfn=U2FsdGVkX1+QBePZBrtqAKbtuJ7jsiZx+ok3uu9F4vbft2G2HYobxtQ3dLluVur5eWp5+JD0WCALfgsS5AzKnG+ZsGjT4yAvfoiG/YrFk/k=&amp;_app_id=central_doc_viewer&amp;center_on_screen=true&amp;width=950&amp;height=800&amp;_dd2=%26f%3Dsld%26c%3Dtrue%26os%3D264461%26oe%3D264464" TargetMode="External"/><Relationship Id="rId346" Type="http://schemas.openxmlformats.org/officeDocument/2006/relationships/hyperlink" Target="fdsup://factset/Doc%20Viewer%20Single?float_window=true&amp;positioning_strategy=center_on_screen&amp;_doc_docfn=U2FsdGVkX19omPYFoacP70dUtU1h2sCzrmn0Mg4TW4G7GR6UCJ6pf4Uy+mSDIWtvk0uDp7V2SptfhPlz4y2IGcVIfzgNkeg5fYwBuYu6qcs=&amp;_app_id=central_doc_viewer&amp;center_on_screen=true&amp;width=950&amp;height=800&amp;_dd2=%26f%3Dsld%26c%3Dtrue%26os%3D446297%26oe%3D446303" TargetMode="External"/><Relationship Id="rId367" Type="http://schemas.openxmlformats.org/officeDocument/2006/relationships/hyperlink" Target="fdsup://factset/Doc%20Viewer%20Single?float_window=true&amp;positioning_strategy=center_on_screen&amp;_doc_docfn=U2FsdGVkX1/66oUcO8JDTgMw4vkBsVNf8T0WtG9MyiImgyksQEA6m45zCm0wItS2ys3gv3nbe4DYe67Mm/8A0P1z4CB8DPrcqedOMv/HS6g=&amp;_app_id=central_doc_viewer&amp;center_on_screen=true&amp;width=950&amp;height=800&amp;_dd2=%26f%3Dsld%26c%3Dtrue%26os%3D284176%26oe%3D284181" TargetMode="External"/><Relationship Id="rId85" Type="http://schemas.openxmlformats.org/officeDocument/2006/relationships/hyperlink" Target="fdsup://factset/Doc%20Viewer%20Single?float_window=true&amp;positioning_strategy=center_on_screen&amp;_doc_docfn=U2FsdGVkX18+j0oJBIGw+YvG5igaIWRj88wVs2r59M1r43Z8+Y/aE1jn9Z2n554jk3tyR94KpJA1arYqFrsZ3g6YaSNK5aBu9mAW8FBcrcw=&amp;_app_id=central_doc_viewer&amp;center_on_screen=true&amp;width=950&amp;height=800&amp;_dd2=%26f%3Dsld%26c%3Dtrue%26os%3D166517%26oe%3D166522" TargetMode="External"/><Relationship Id="rId150" Type="http://schemas.openxmlformats.org/officeDocument/2006/relationships/hyperlink" Target="fdsup://factset/Doc%20Viewer%20Single?float_window=true&amp;positioning_strategy=center_on_screen&amp;_doc_docfn=U2FsdGVkX19PsSlVMjiutYzya80mSbQZrvDLrg4hutiQ7CgTr5aTbuKstwSwuP15DELSLpKRumdA0hyyRz9z3rRmaW5RZhusUlHY8F3HrKw=&amp;_app_id=central_doc_viewer&amp;center_on_screen=true&amp;width=950&amp;height=800&amp;_dd2=%26f%3Dsld%26c%3Dtrue%26os%3D268666%26oe%3D268671" TargetMode="External"/><Relationship Id="rId171" Type="http://schemas.openxmlformats.org/officeDocument/2006/relationships/hyperlink" Target="fdsup://factset/Doc%20Viewer%20Single?float_window=true&amp;positioning_strategy=center_on_screen&amp;_doc_docfn=U2FsdGVkX1/61TR3H0lVLKxzdOXaMs9j7tQaDBSBzt/THzrPA4Uzq93svdOyx8WKkYgOpwxSBwMuDxGjTAXee5aucFzRe7UVwJCZn2iK1zk=&amp;_app_id=central_doc_viewer&amp;center_on_screen=true&amp;width=950&amp;height=800&amp;_dd2=%26f%3Dsld%26c%3Dtrue%26os%3D253028%26oe%3D253036" TargetMode="External"/><Relationship Id="rId192" Type="http://schemas.openxmlformats.org/officeDocument/2006/relationships/hyperlink" Target="fdsup://factset/Doc%20Viewer%20Single?float_window=true&amp;positioning_strategy=center_on_screen&amp;_doc_docfn=U2FsdGVkX1+uXTFuF6u4+rE7+UlZobtF8R3uyCMWomIK7vYtNZ/uf8QBefY6QqscgxUuIGQMJcMfDTayJiJFyHThIj4K0aNLaBO9GzKnGXw=&amp;_app_id=central_doc_viewer&amp;center_on_screen=true&amp;width=950&amp;height=800&amp;_dd2=%26f%3Dsld%26c%3Dtrue%26os%3D256646%26oe%3D256651" TargetMode="External"/><Relationship Id="rId206" Type="http://schemas.openxmlformats.org/officeDocument/2006/relationships/hyperlink" Target="fdsup://factset/Doc%20Viewer%20Single?float_window=true&amp;positioning_strategy=center_on_screen&amp;_doc_docfn=U2FsdGVkX18PJRLa6e2LQkeA55WPMyoxKiP4ZzxL706Il0ASUS8+PCnRA/xQP1DjTYUdr62+1jlx7UHUZISdD8M8+jwFUrc/IM3vpARbd1A=&amp;_app_id=central_doc_viewer&amp;center_on_screen=true&amp;width=950&amp;height=800&amp;_dd2=%26f%3Dsld%26c%3Dtrue%26os%3D183047%26oe%3D183054" TargetMode="External"/><Relationship Id="rId227" Type="http://schemas.openxmlformats.org/officeDocument/2006/relationships/hyperlink" Target="fdsup://factset/Doc%20Viewer%20Single?float_window=true&amp;positioning_strategy=center_on_screen&amp;_doc_docfn=U2FsdGVkX1/O3fHyN2UF7wwrdON8SyNZGEAd6fpumHcHPmKXVkfijXQuNZh557d/+XBWck4mlxk5ZFy5qwJMO8yatwFVcUQQFvYL6fcWTYo=&amp;_app_id=central_doc_viewer&amp;center_on_screen=true&amp;width=950&amp;height=800&amp;_dd2=%26f%3Dsld%26c%3Dtrue%26os%3D180459%26oe%3D180466" TargetMode="External"/><Relationship Id="rId248" Type="http://schemas.openxmlformats.org/officeDocument/2006/relationships/hyperlink" Target="fdsup://factset/Doc%20Viewer%20Single?float_window=true&amp;positioning_strategy=center_on_screen&amp;_doc_docfn=U2FsdGVkX1+FBBouUjkHc1LXtt2y5LBIumeYXw5kA2vQBX1o14zHDUVPk2V/hbG4G5wx1AKJTFAkTZ+J1Fnzbvn4shhCKSH9trrgp0lIHBI=&amp;_app_id=central_doc_viewer&amp;center_on_screen=true&amp;width=950&amp;height=800&amp;_dd2=%26f%3Dsld%26c%3Dtrue%26os%3D261309%26oe%3D261311" TargetMode="External"/><Relationship Id="rId269" Type="http://schemas.openxmlformats.org/officeDocument/2006/relationships/hyperlink" Target="fdsup://factset/Doc%20Viewer%20Single?float_window=true&amp;positioning_strategy=center_on_screen&amp;_doc_docfn=U2FsdGVkX19fnoBV1lxeurup+wkSxc5nNXfUq3HVHxAh+Ie2yYaLjJs94GER30vM2qhYV9oGNlDpVz3QSmKT1+UApmkgIpse16DhGcc/IYg=&amp;_app_id=central_doc_viewer&amp;center_on_screen=true&amp;width=950&amp;height=800&amp;_dd2=%26f%3Dsld%26c%3Dtrue%26os%3D277431%26oe%3D277438" TargetMode="External"/><Relationship Id="rId12" Type="http://schemas.openxmlformats.org/officeDocument/2006/relationships/hyperlink" Target="fdsup://factset/Doc%20Viewer%20Single?float_window=true&amp;positioning_strategy=center_on_screen&amp;_doc_docfn=U2FsdGVkX18/vaHWdMneZdpuLoWuED0yMNe41E+VYh4AXrEJcMHIiYZPm1QUUFJmt/D/VS7DdnAjsK75tl+YDcb6xPAWxVrUVnRPn3JWh38=&amp;_app_id=central_doc_viewer&amp;center_on_screen=true&amp;width=950&amp;height=800&amp;_dd2=%26f%3Dsld%26c%3Dtrue%26os%3D155963%26oe%3D155968" TargetMode="External"/><Relationship Id="rId33" Type="http://schemas.openxmlformats.org/officeDocument/2006/relationships/hyperlink" Target="fdsup://factset/Doc%20Viewer%20Single?float_window=true&amp;positioning_strategy=center_on_screen&amp;_doc_docfn=U2FsdGVkX19NaAMAkdf6SYDtwl64wnBZlS2gMxGHkj8LGHmoboWaMsXOrfHw2z9OWo7t6Xo1YGKthRaK8ENAXO2jYWSk208FMd3/ZkIE//s=&amp;_app_id=central_doc_viewer&amp;center_on_screen=true&amp;width=950&amp;height=800&amp;_dd2=%26f%3Dsld%26c%3Dtrue%26os%3D162143%26oe%3D162148" TargetMode="External"/><Relationship Id="rId108" Type="http://schemas.openxmlformats.org/officeDocument/2006/relationships/hyperlink" Target="fdsup://factset/Doc%20Viewer%20Single?float_window=true&amp;positioning_strategy=center_on_screen&amp;_doc_docfn=U2FsdGVkX1+IyN61PWPcUFow5GgJPeQ3R65juZApNEXzliCQz3jacM/NJP0AsmfHOuBSBLPYnoGREFo8nRvA7LxKjXXEDLoLmW+AokcJzz8=&amp;_app_id=central_doc_viewer&amp;center_on_screen=true&amp;width=950&amp;height=800&amp;_dd2=%26f%3Dsld%26c%3Dtrue%26os%3D249058%26oe%3D249061" TargetMode="External"/><Relationship Id="rId129" Type="http://schemas.openxmlformats.org/officeDocument/2006/relationships/hyperlink" Target="fdsup://factset/Doc%20Viewer%20Single?float_window=true&amp;positioning_strategy=center_on_screen&amp;_doc_docfn=U2FsdGVkX1/x4V0ZWy76x/ukEbV38cwdhT3j8BNtDsjQB4hzeHn6UTkFWelqvufofYDYmvl9S5ouAimxPli8Jla7O/nibF+A4fcjsW/mZ4s=&amp;_app_id=central_doc_viewer&amp;center_on_screen=true&amp;width=950&amp;height=800&amp;_dd2=%26f%3Dsld%26c%3Dtrue%26os%3D431759%26oe%3D431767" TargetMode="External"/><Relationship Id="rId280" Type="http://schemas.openxmlformats.org/officeDocument/2006/relationships/hyperlink" Target="fdsup://factset/Doc%20Viewer%20Single?float_window=true&amp;positioning_strategy=center_on_screen&amp;_doc_docfn=U2FsdGVkX18c4kVOqW3bVr8hwJLbK/bE/kwVnzy4KuvZHbjkjkqjvg3e9SN4dZaPq1t5pmeiXnlQLJRt6PaK0sfvoyacMS5N8gnO9/IcaB8=&amp;_app_id=central_doc_viewer&amp;center_on_screen=true&amp;width=950&amp;height=800&amp;_dd2=%26f%3Dsld%26c%3Dtrue%26os%3D172864%26oe%3D172869" TargetMode="External"/><Relationship Id="rId315" Type="http://schemas.openxmlformats.org/officeDocument/2006/relationships/hyperlink" Target="fdsup://factset/Doc%20Viewer%20Single?float_window=true&amp;positioning_strategy=center_on_screen&amp;_doc_docfn=U2FsdGVkX19wSHWn1fgi6ZeXzQs8r2BOs0DgzgdxZSx4X9868tmbV3TzvpWXDRYsETC0IWUrsVLWygpCuALtUZXFyX0jX3jk/dgs7XA7cxs=&amp;_app_id=central_doc_viewer&amp;center_on_screen=true&amp;width=950&amp;height=800&amp;_dd2=%26f%3Dsld%26c%3Dtrue%26os%3D445393%26oe%3D445398" TargetMode="External"/><Relationship Id="rId336" Type="http://schemas.openxmlformats.org/officeDocument/2006/relationships/hyperlink" Target="fdsup://factset/Doc%20Viewer%20Single?float_window=true&amp;positioning_strategy=center_on_screen&amp;_doc_docfn=U2FsdGVkX19kN26I3hYLnr0aDVZMoGf/9She1JmNYFcIsw2kV6oGIjfRKeJTEYVAbfJBV8POcLf2sajZO1FTajeyOLuGW+BCZ9FYaUmmpBk=&amp;_app_id=central_doc_viewer&amp;center_on_screen=true&amp;width=950&amp;height=800&amp;_dd2=%26f%3Dsld%26c%3Dtrue%26os%3D1509087%26oe%3D1509093" TargetMode="External"/><Relationship Id="rId357" Type="http://schemas.openxmlformats.org/officeDocument/2006/relationships/hyperlink" Target="fdsup://factset/Doc%20Viewer%20Single?float_window=true&amp;positioning_strategy=center_on_screen&amp;_doc_docfn=U2FsdGVkX19vvVwp3ulqULPwZUBqMhTPVzLRDCUVy6WL3x9MN7c5eI39wt9ck2HTyNqndflHoUrPcbD3wIrzx0xMQi4AVPENx8FG6pp/33s=&amp;_app_id=central_doc_viewer&amp;center_on_screen=true&amp;width=950&amp;height=800&amp;_dd2=%26f%3Dsld%26c%3Dtrue%26os%3D283478%26oe%3D283483" TargetMode="External"/><Relationship Id="rId54" Type="http://schemas.openxmlformats.org/officeDocument/2006/relationships/hyperlink" Target="fdsup://factset/Doc%20Viewer%20Single?float_window=true&amp;positioning_strategy=center_on_screen&amp;_doc_docfn=U2FsdGVkX18BTBHHoc4o7UGX3M34GjmuaS890b35igg9VMYnuZfmHyneuV/nxkAtNCYrF6rpcl53fIYlb0zFTyTCLp9cbacK8Nb11zXJG/8=&amp;_app_id=central_doc_viewer&amp;center_on_screen=true&amp;width=950&amp;height=800&amp;_dd2=%26f%3Dsld%26c%3Dtrue%26os%3D162920%26oe%3D162923" TargetMode="External"/><Relationship Id="rId75" Type="http://schemas.openxmlformats.org/officeDocument/2006/relationships/hyperlink" Target="fdsup://factset/Doc%20Viewer%20Single?float_window=true&amp;positioning_strategy=center_on_screen&amp;_doc_docfn=U2FsdGVkX1/yLVVkr5tgXotIUFHRh58Zwsw+p1PbSsJBJxy4N5czXT8ygODswL3JWdwdU473/3nMjpWcJoEEWvqlsMP2fXRkt3jpU6U7vi8=&amp;_app_id=central_doc_viewer&amp;center_on_screen=true&amp;width=950&amp;height=800&amp;_dd2=%26f%3Dsld%26c%3Dtrue%26os%3D165690%26oe%3D165695" TargetMode="External"/><Relationship Id="rId96" Type="http://schemas.openxmlformats.org/officeDocument/2006/relationships/hyperlink" Target="fdsup://factset/Doc%20Viewer%20Single?float_window=true&amp;positioning_strategy=center_on_screen&amp;_doc_docfn=U2FsdGVkX194XzHOVBAMDbISPuvBlWfTp+er/69oLz3hrU90P54bf9ekdAVht4G8FQa/lXtAqtrtGNZxZMvZamqXKHzgpvHJqZmCfRwxrOY=&amp;_app_id=central_doc_viewer&amp;center_on_screen=true&amp;width=950&amp;height=800&amp;_dd2=%26f%3Dsld%26c%3Dtrue%26os%3D248287%26oe%3D248290" TargetMode="External"/><Relationship Id="rId140" Type="http://schemas.openxmlformats.org/officeDocument/2006/relationships/hyperlink" Target="fdsup://factset/Doc%20Viewer%20Single?float_window=true&amp;positioning_strategy=center_on_screen&amp;_doc_docfn=U2FsdGVkX18Oht7W+EJO9k+u4NF5MPHV4Y7YJElyCBvA95efbqZ4VVF+PSqs9puybCMbY7SPlDmk/dhcK+a0tOnFeWBnFme9QGD6c2CF7qU=&amp;_app_id=central_doc_viewer&amp;center_on_screen=true&amp;width=950&amp;height=800&amp;_dd2=%26f%3Dsld%26c%3Dtrue%26os%3D268666%26oe%3D268671" TargetMode="External"/><Relationship Id="rId161" Type="http://schemas.openxmlformats.org/officeDocument/2006/relationships/hyperlink" Target="fdsup://factset/Doc%20Viewer%20Single?float_window=true&amp;positioning_strategy=center_on_screen&amp;_doc_docfn=U2FsdGVkX19223IID057MGHsL1+i5w3trpyplV0JFDEEpup6KJT0FpaOtPwbw82IlL8o5nqznm8Wd4XLC9AfS3MKECxMc1P9JgN2KPHS1OY=&amp;_app_id=central_doc_viewer&amp;center_on_screen=true&amp;width=950&amp;height=800&amp;_dd2=%26f%3Dsld%26c%3Dtrue%26os%3D251364%26oe%3D251369" TargetMode="External"/><Relationship Id="rId182" Type="http://schemas.openxmlformats.org/officeDocument/2006/relationships/hyperlink" Target="fdsup://factset/Doc%20Viewer%20Single?float_window=true&amp;positioning_strategy=center_on_screen&amp;_doc_docfn=U2FsdGVkX19lI5COmwKx1+IRQvpky/DrEc8Xiza1zMmIPB9wNY7GRu+YVE7B4pME3Z6pHsYvfgEx+V+5/lZgu3FpcGiHzcUJ66Ry+YWcW3c=&amp;_app_id=central_doc_viewer&amp;center_on_screen=true&amp;width=950&amp;height=800&amp;_dd2=%26f%3Dsld%26c%3Dtrue%26os%3D271101%26oe%3D271108" TargetMode="External"/><Relationship Id="rId217" Type="http://schemas.openxmlformats.org/officeDocument/2006/relationships/hyperlink" Target="fdsup://factset/Doc%20Viewer%20Single?float_window=true&amp;positioning_strategy=center_on_screen&amp;_doc_docfn=U2FsdGVkX18HMSThl1JuCkgXL6YzVzhn3QIMhaWTQOsgEqHb1Fi+pciiubEO4BHqs8b4e5NDf7kquhQrAujjL7KzZPpDOi+NRxCwp6jFpG0=&amp;_app_id=central_doc_viewer&amp;center_on_screen=true&amp;width=950&amp;height=800&amp;_dd2=%26f%3Dsld%26c%3Dtrue%26os%3D179658%26oe%3D179665" TargetMode="External"/><Relationship Id="rId6" Type="http://schemas.openxmlformats.org/officeDocument/2006/relationships/hyperlink" Target="fdsup://factset/Doc%20Viewer%20Single?float_window=true&amp;positioning_strategy=center_on_screen&amp;_doc_docfn=U2FsdGVkX1/Fppm6F1+BAwhyDMFdwcyURrIA3hRrdsyxFImDpXMG8HnS610QDUJxRrPdQ+gE5f7fyt+CTindnvCBiLC2Z58D357ZNpzAxGE=&amp;_app_id=central_doc_viewer&amp;center_on_screen=true&amp;width=950&amp;height=800&amp;_dd2=%26f%3Dsld%26c%3Dtrue%26os%3D430672%26oe%3D430678" TargetMode="External"/><Relationship Id="rId238" Type="http://schemas.openxmlformats.org/officeDocument/2006/relationships/hyperlink" Target="fdsup://factset/Doc%20Viewer%20Single?float_window=true&amp;positioning_strategy=center_on_screen&amp;_doc_docfn=U2FsdGVkX19MCy8mdWAAbx/cNmpOQUmj/9tOyaI6rLBlym6sSPFJv4jyVVuoNRAxKCQpz14YDkvXzHfEN3XKPL6iRfkE4iulJppKEQl04ww=&amp;_app_id=central_doc_viewer&amp;center_on_screen=true&amp;width=950&amp;height=800&amp;_dd2=%26f%3Dsld%26c%3Dtrue%26os%3D258288%26oe%3D258293" TargetMode="External"/><Relationship Id="rId259" Type="http://schemas.openxmlformats.org/officeDocument/2006/relationships/hyperlink" Target="fdsup://factset/Doc%20Viewer%20Single?float_window=true&amp;positioning_strategy=center_on_screen&amp;_doc_docfn=U2FsdGVkX1+PDbvTO092Qezf2dA+qx4zpPDrUO07LqEZa3jf9HkQ/nLbIZsd+KEGEtpuo0TqeiCs4+GgoA4yenXa1JtBg6Jqlqh1DBEuA78=&amp;_app_id=central_doc_viewer&amp;center_on_screen=true&amp;width=950&amp;height=800&amp;_dd2=%26f%3Dsld%26c%3Dtrue%26os%3D185304%26oe%3D185311" TargetMode="External"/><Relationship Id="rId23" Type="http://schemas.openxmlformats.org/officeDocument/2006/relationships/hyperlink" Target="fdsup://factset/Doc%20Viewer%20Single?float_window=true&amp;positioning_strategy=center_on_screen&amp;_doc_docfn=U2FsdGVkX1+Z9Bxx+GaZpGxjGKUhaDvKWBlAxLyjaQ0G+WR896fLSkQgaB+c1aENxjlQn44aXrytxScK/0V6xXi+0XgTWJZGLClI+9+gOM4=&amp;_app_id=central_doc_viewer&amp;center_on_screen=true&amp;width=950&amp;height=800&amp;_dd2=%26f%3Dsld%26c%3Dtrue%26os%3D161360%26oe%3D161365" TargetMode="External"/><Relationship Id="rId119" Type="http://schemas.openxmlformats.org/officeDocument/2006/relationships/hyperlink" Target="fdsup://factset/Doc%20Viewer%20Single?float_window=true&amp;positioning_strategy=center_on_screen&amp;_doc_docfn=U2FsdGVkX18FqM4DbrO0gP3D8iqMa/YJRfvLwsbsV8Cm+3XieUXl1O5N+aexrknKkOBbC9LcZT/bjxF7oezpFqS3nqMuBJ+zWSEm7wWLEJw=&amp;_app_id=central_doc_viewer&amp;center_on_screen=true&amp;width=950&amp;height=800&amp;_dd2=%26f%3Dsld%26c%3Dtrue%26os%3D436546%26oe%3D436554" TargetMode="External"/><Relationship Id="rId270" Type="http://schemas.openxmlformats.org/officeDocument/2006/relationships/hyperlink" Target="fdsup://factset/Doc%20Viewer%20Single?float_window=true&amp;positioning_strategy=center_on_screen&amp;_doc_docfn=U2FsdGVkX18cQrTK5Vx5WKKmxZM57k7+3/lw6bQa7thLh+DKtls1RQgrxMrqzz4sOkYufW511PwxuuApSUeTEDCxfVBK3qve3RTCjWIVyVM=&amp;_app_id=central_doc_viewer&amp;center_on_screen=true&amp;width=950&amp;height=800&amp;_dd2=%26f%3Dsld%26c%3Dtrue%26os%3D172045%26oe%3D172052" TargetMode="External"/><Relationship Id="rId291" Type="http://schemas.openxmlformats.org/officeDocument/2006/relationships/hyperlink" Target="fdsup://factset/Doc%20Viewer%20Single?float_window=true&amp;positioning_strategy=center_on_screen&amp;_doc_docfn=U2FsdGVkX1+k2FEGO+xKxaZdX7TGUV5gM4YjRCbUdpYVlyXV3KWimYXWSKW9EjNvi1+0OfG7YoIH25cM99D+eEwhAo1ZQ2H3rwOd494p0hA=&amp;_app_id=central_doc_viewer&amp;center_on_screen=true&amp;width=950&amp;height=800&amp;_dd2=%26f%3Dsld%26c%3Dtrue%26os%3D177169%26oe%3D177174" TargetMode="External"/><Relationship Id="rId305" Type="http://schemas.openxmlformats.org/officeDocument/2006/relationships/hyperlink" Target="fdsup://factset/Doc%20Viewer%20Single?float_window=true&amp;positioning_strategy=center_on_screen&amp;_doc_docfn=U2FsdGVkX19xSd8aB66jIuQbxvCkbwdnPX8Fgy9UZBKvaqxcu6ZShD6EAQ7iviuwBb4AwfRnOHZCmnj5VaooYGTOPGg3y2/ePQRNgu8DT8g=&amp;_app_id=central_doc_viewer&amp;center_on_screen=true&amp;width=950&amp;height=800&amp;_dd2=%26f%3Dsld%26c%3Dtrue%26os%3D444530%26oe%3D444535" TargetMode="External"/><Relationship Id="rId326" Type="http://schemas.openxmlformats.org/officeDocument/2006/relationships/hyperlink" Target="fdsup://factset/Doc%20Viewer%20Single?float_window=true&amp;positioning_strategy=center_on_screen&amp;_doc_docfn=U2FsdGVkX19DXImkv6FK6/SBlV8Vh4SxJ1Kmu4wG3DBlxqWF1cigfECro9wr+CdUFl4bZoN4hjaniYDM4zz6YsJSeoIDmlRy93wns6kafHI=&amp;_app_id=central_doc_viewer&amp;center_on_screen=true&amp;width=950&amp;height=800&amp;_dd2=%26f%3Dsld%26c%3Dtrue%26os%3D445393%26oe%3D445398" TargetMode="External"/><Relationship Id="rId347" Type="http://schemas.openxmlformats.org/officeDocument/2006/relationships/hyperlink" Target="fdsup://factset/Doc%20Viewer%20Single?float_window=true&amp;positioning_strategy=center_on_screen&amp;_doc_docfn=U2FsdGVkX19cIsUiJMzACTtf/3gAel8QRtLyK/OlWiIzyk+IR8ZSbKRihfNvBixDl6+yRWIg1TSDzqXPIgFbttDyVQgk+kqOCuJouHiaGA8=&amp;_app_id=central_doc_viewer&amp;center_on_screen=true&amp;width=950&amp;height=800&amp;_dd2=%26f%3Dsld%26c%3Dtrue%26os%3D282433%26oe%3D282439" TargetMode="External"/><Relationship Id="rId44" Type="http://schemas.openxmlformats.org/officeDocument/2006/relationships/hyperlink" Target="fdsup://factset/Doc%20Viewer%20Single?float_window=true&amp;positioning_strategy=center_on_screen&amp;_doc_docfn=U2FsdGVkX18Jk3aOu6Hg26AWTqi+cGoocw/OfH25e6ayTYSFDET2i++yjZZGKcI/3XHIBcis5a+flTRYYbEj3Onbtkp+HS/ZrEg/cBBmggw=&amp;_app_id=central_doc_viewer&amp;center_on_screen=true&amp;width=950&amp;height=800&amp;_dd2=%26f%3Dsld%26c%3Dtrue%26os%3D163668%26oe%3D163671" TargetMode="External"/><Relationship Id="rId65" Type="http://schemas.openxmlformats.org/officeDocument/2006/relationships/hyperlink" Target="fdsup://factset/Doc%20Viewer%20Single?float_window=true&amp;positioning_strategy=center_on_screen&amp;_doc_docfn=U2FsdGVkX1/SopVb9yqqGHmFhLUC+4ToIdQ56UcsAcGShykTF25IgK/TPfxjYHFB/EhJS2D28JtQVXyAORe7eHAETabrLMjS8mnFrZwSIUQ=&amp;_app_id=central_doc_viewer&amp;center_on_screen=true&amp;width=950&amp;height=800&amp;_dd2=%26f%3Dsld%26c%3Dtrue%26os%3D164888%26oe%3D164895" TargetMode="External"/><Relationship Id="rId86" Type="http://schemas.openxmlformats.org/officeDocument/2006/relationships/hyperlink" Target="fdsup://factset/Doc%20Viewer%20Single?float_window=true&amp;positioning_strategy=center_on_screen&amp;_doc_docfn=U2FsdGVkX18yLEhhAa+3ewiCeosnhuUOLxb34ekuqkVSjak7XgBlaqzqA0d7d/oROjxEgT0PYyPcSEXLCh2GECwrZCgkiaT0dNIaYc5wJT8=&amp;_app_id=central_doc_viewer&amp;center_on_screen=true&amp;width=950&amp;height=800&amp;_dd2=%26f%3Dsld%26c%3Dtrue%26os%3D169653%26oe%3D169658" TargetMode="External"/><Relationship Id="rId130" Type="http://schemas.openxmlformats.org/officeDocument/2006/relationships/hyperlink" Target="fdsup://factset/Doc%20Viewer%20Single?float_window=true&amp;positioning_strategy=center_on_screen&amp;_doc_docfn=U2FsdGVkX19CAvtzvOv+KpGHLGfgXYzkuwYJH6St6ngKfeAgNDlxCKQGz9Mcyc2zYA3ZCOEChGT/AV7Q3XYIWHi1MJmTyFwZHVL3y+ReblE=&amp;_app_id=central_doc_viewer&amp;center_on_screen=true&amp;width=950&amp;height=800&amp;_dd2=%26f%3Dsld%26c%3Dtrue%26os%3D267097%26oe%3D267105" TargetMode="External"/><Relationship Id="rId151" Type="http://schemas.openxmlformats.org/officeDocument/2006/relationships/hyperlink" Target="fdsup://factset/Doc%20Viewer%20Single?float_window=true&amp;positioning_strategy=center_on_screen&amp;_doc_docfn=U2FsdGVkX1/2Ql1/zUOHvaRNWHRR6NwilkeMOnTBABKGrwWPiCJPBori7eAasGgn9fBybH9hRD2/CUtAtv4hW4NLOgSGKiuTeCiWxbCCov4=&amp;_app_id=central_doc_viewer&amp;center_on_screen=true&amp;width=950&amp;height=800&amp;_dd2=%26f%3Dsld%26c%3Dtrue%26os%3D252176%26oe%3D252181" TargetMode="External"/><Relationship Id="rId368" Type="http://schemas.openxmlformats.org/officeDocument/2006/relationships/hyperlink" Target="fdsup://factset/Doc%20Viewer%20Single?float_window=true&amp;positioning_strategy=center_on_screen&amp;_doc_docfn=U2FsdGVkX1/xJ8XhaXW6QH0ZcyyiacAbXrWgKK/1MAdccqL68iAkOWqasbYiS4qthoigmCS3WtBi0TazZRS+w4A1bgPJhE+cmrHEc4JkJ9w=&amp;_app_id=central_doc_viewer&amp;center_on_screen=true&amp;width=950&amp;height=800&amp;_dd2=%26f%3Dsld%26c%3Dtrue%26os%3D268646%26oe%3D268651" TargetMode="External"/><Relationship Id="rId172" Type="http://schemas.openxmlformats.org/officeDocument/2006/relationships/hyperlink" Target="fdsup://factset/Doc%20Viewer%20Single?float_window=true&amp;positioning_strategy=center_on_screen&amp;_doc_docfn=U2FsdGVkX18IPZ3iKBSLDYIDjb4QpQwXk3CTh/fB10+3YtW2vuQLdiVmZmBmVQw8gQUY3RWhmschwKAKzQ2lL3ndor/NsTsOaRXsi9+TMcw=&amp;_app_id=central_doc_viewer&amp;center_on_screen=true&amp;width=950&amp;height=800&amp;_dd2=%26f%3Dsld%26c%3Dtrue%26os%3D254310%26oe%3D254318" TargetMode="External"/><Relationship Id="rId193" Type="http://schemas.openxmlformats.org/officeDocument/2006/relationships/hyperlink" Target="fdsup://factset/Doc%20Viewer%20Single?float_window=true&amp;positioning_strategy=center_on_screen&amp;_doc_docfn=U2FsdGVkX1/OIIErNMnjtokZWjyXz6qFyNgWeJiJhsdqQGGjz1SkVoKAbNpjpWdy54LrbTjX281b/oxmdQBKO3Okq4OR+wVWW/NKvGNlVQ8=&amp;_app_id=central_doc_viewer&amp;center_on_screen=true&amp;width=950&amp;height=800&amp;_dd2=%26f%3Dsld%26c%3Dtrue%26os%3D269444%26oe%3D269451" TargetMode="External"/><Relationship Id="rId207" Type="http://schemas.openxmlformats.org/officeDocument/2006/relationships/hyperlink" Target="fdsup://factset/Doc%20Viewer%20Single?float_window=true&amp;positioning_strategy=center_on_screen&amp;_doc_docfn=U2FsdGVkX1+0C3Gk0ZqYL2pbQp1kJYHYGDlIhRLdExgCSYiY4sjcZFb29OxQ4kLEjYXKibLT8WifagBkRWv8wfBgCQmah3VuXUGRjfJy+uE=&amp;_app_id=central_doc_viewer&amp;center_on_screen=true&amp;width=950&amp;height=800&amp;_dd2=%26f%3Dsld%26c%3Dtrue%26os%3D186159%26oe%3D186166" TargetMode="External"/><Relationship Id="rId228" Type="http://schemas.openxmlformats.org/officeDocument/2006/relationships/hyperlink" Target="fdsup://factset/Doc%20Viewer%20Single?float_window=true&amp;positioning_strategy=center_on_screen&amp;_doc_docfn=U2FsdGVkX18NPeSgoYbILhcj97jKLtir/27Ph1k2zFfWSj+c9tACSYJT9or08vZwuXank3E68AAlz18QqUTMdmZnPL6zkD00nEysDVYItLw=&amp;_app_id=central_doc_viewer&amp;center_on_screen=true&amp;width=950&amp;height=800&amp;_dd2=%26f%3Dsld%26c%3Dtrue%26os%3D257531%26oe%3D257538" TargetMode="External"/><Relationship Id="rId249" Type="http://schemas.openxmlformats.org/officeDocument/2006/relationships/hyperlink" Target="fdsup://factset/Doc%20Viewer%20Single?float_window=true&amp;positioning_strategy=center_on_screen&amp;_doc_docfn=U2FsdGVkX1+0mykdXqfzOf+PlEmTOojEWNFe15MV55Zlk41aBf/+hfxe6IiJ/jx0MkEs4wo/gTFB+li8XFYnK0qSnBjs6QKqQ3dTpMgBLjY=&amp;_app_id=central_doc_viewer&amp;center_on_screen=true&amp;width=950&amp;height=800&amp;_dd2=%26f%3Dsld%26c%3Dtrue%26os%3D442172%26oe%3D442177" TargetMode="External"/><Relationship Id="rId13" Type="http://schemas.openxmlformats.org/officeDocument/2006/relationships/hyperlink" Target="fdsup://factset/Doc%20Viewer%20Single?float_window=true&amp;positioning_strategy=center_on_screen&amp;_doc_docfn=U2FsdGVkX195b5aA7kcgIZyXBbUqnZ0zZW6ur1TaB74gmhBt8MRlYWIPlOFrxviOMPAc9rSDUAMmpEBKiHZDx1k3fZZ/sHwlUKvvCidGDlA=&amp;_app_id=central_doc_viewer&amp;center_on_screen=true&amp;width=950&amp;height=800&amp;_dd2=%26f%3Dsld%26c%3Dtrue%26os%3D160243%26oe%3D160249" TargetMode="External"/><Relationship Id="rId109" Type="http://schemas.openxmlformats.org/officeDocument/2006/relationships/hyperlink" Target="fdsup://factset/Doc%20Viewer%20Single?float_window=true&amp;positioning_strategy=center_on_screen&amp;_doc_docfn=U2FsdGVkX1+nUjSnTKr8vr+ZjSf8JHv1KdcqZ9T3YycSJwymoMPGRHVGHZ8nlA9a8j55WPzS1JYFAdzA8z9Vyypr/qsh90k5EH9SXnevDtU=&amp;_app_id=central_doc_viewer&amp;center_on_screen=true&amp;width=950&amp;height=800&amp;_dd2=%26f%3Dsld%26c%3Dtrue%26os%3D429914%26oe%3D429917" TargetMode="External"/><Relationship Id="rId260" Type="http://schemas.openxmlformats.org/officeDocument/2006/relationships/hyperlink" Target="fdsup://factset/Doc%20Viewer%20Single?float_window=true&amp;positioning_strategy=center_on_screen&amp;_doc_docfn=U2FsdGVkX19K4Y0jPmPRvyyxsD6oP6WioJoVU/iHpFzh7tmpn1d8PDb1bgG/+wDWkjVG3L5oFahkq//GgY2eyA6PbTH2rsRpahCJy7G3SEE=&amp;_app_id=central_doc_viewer&amp;center_on_screen=true&amp;width=950&amp;height=800&amp;_dd2=%26f%3Dsld%26c%3Dtrue%26os%3D262052%26oe%3D262059" TargetMode="External"/><Relationship Id="rId281" Type="http://schemas.openxmlformats.org/officeDocument/2006/relationships/hyperlink" Target="fdsup://factset/Doc%20Viewer%20Single?float_window=true&amp;positioning_strategy=center_on_screen&amp;_doc_docfn=U2FsdGVkX1/sdFwrp4bcgkTAPLgC0/lL+kLBQW+J9fNLafFcbN+0gqShm8gg6du6a5bEMgnugrxyeVE7BNahgjK+g+Vm3lbWQL+Im7Mr/N4=&amp;_app_id=central_doc_viewer&amp;center_on_screen=true&amp;width=950&amp;height=800&amp;_dd2=%26f%3Dsld%26c%3Dtrue%26os%3D176340%26oe%3D176345" TargetMode="External"/><Relationship Id="rId316" Type="http://schemas.openxmlformats.org/officeDocument/2006/relationships/hyperlink" Target="fdsup://factset/Doc%20Viewer%20Single?float_window=true&amp;positioning_strategy=center_on_screen&amp;_doc_docfn=U2FsdGVkX18nuVMC6PLfPTSjHpdvMLIiTCkE2FSCYnSFDQ6ijgswZ3TYoNxrmPoWziM5apecURCWLEDXH0rwg9OUWeRlMJg5UB5wX2yFRRQ=&amp;_app_id=central_doc_viewer&amp;center_on_screen=true&amp;width=950&amp;height=800&amp;_dd2=%26f%3Dsld%26c%3Dtrue%26os%3D281531%26oe%3D281536" TargetMode="External"/><Relationship Id="rId337" Type="http://schemas.openxmlformats.org/officeDocument/2006/relationships/hyperlink" Target="fdsup://factset/Doc%20Viewer%20Single?float_window=true&amp;positioning_strategy=center_on_screen&amp;_doc_docfn=U2FsdGVkX1/JCut+GKG4UWtXA/CSd9Z5bHgX1QOko4qfYd6N152Xhg+WDZqu/IR0YUj6aoy3Y773vFiGllVUeao+kx2C9TJ9nfjfq+tNkJ0=&amp;_app_id=central_doc_viewer&amp;center_on_screen=true&amp;width=950&amp;height=800&amp;_dd2=%26f%3Dsld%26c%3Dtrue%26os%3D1534759%26oe%3D1534765" TargetMode="External"/><Relationship Id="rId34" Type="http://schemas.openxmlformats.org/officeDocument/2006/relationships/hyperlink" Target="fdsup://factset/Doc%20Viewer%20Single?float_window=true&amp;positioning_strategy=center_on_screen&amp;_doc_docfn=U2FsdGVkX18iI0v/msWRI7L/Od05G1kHuQ9cnm6lszFK0AE4/FvVDcWBq13BwUxhPuBgMPrlQcshBRNiezw9JyB9NVhbUvkULWaCsZcOyBM=&amp;_app_id=central_doc_viewer&amp;center_on_screen=true&amp;width=950&amp;height=800&amp;_dd2=%26f%3Dsld%26c%3Dtrue%26os%3D165282%26oe%3D165284" TargetMode="External"/><Relationship Id="rId55" Type="http://schemas.openxmlformats.org/officeDocument/2006/relationships/hyperlink" Target="fdsup://factset/Doc%20Viewer%20Single?float_window=true&amp;positioning_strategy=center_on_screen&amp;_doc_docfn=U2FsdGVkX1+kLJTf3pS5LVNRZ0soFi5wQxTEieGRmLTgbEBTcH1/XmELzDHbjQRVra583WVfN+orpdgds1UM+kE74wzILFT7M4zCfmgfLeY=&amp;_app_id=central_doc_viewer&amp;center_on_screen=true&amp;width=950&amp;height=800&amp;_dd2=%26f%3Dsld%26c%3Dtrue%26os%3D166058%26oe%3D166061" TargetMode="External"/><Relationship Id="rId76" Type="http://schemas.openxmlformats.org/officeDocument/2006/relationships/hyperlink" Target="fdsup://factset/Doc%20Viewer%20Single?float_window=true&amp;positioning_strategy=center_on_screen&amp;_doc_docfn=U2FsdGVkX1+OiZNBxMo/0zN8wlni/nn3m0YDysvyNxjXXrf4gFyhEFsUzwxV2U3BWdDmyVxJE5vC0b8tO4DHJIRrsVdTSlnLyCnw0M6zBf4=&amp;_app_id=central_doc_viewer&amp;center_on_screen=true&amp;width=950&amp;height=800&amp;_dd2=%26f%3Dsld%26c%3Dtrue%26os%3D168829%26oe%3D168834" TargetMode="External"/><Relationship Id="rId97" Type="http://schemas.openxmlformats.org/officeDocument/2006/relationships/hyperlink" Target="fdsup://factset/Doc%20Viewer%20Single?float_window=true&amp;positioning_strategy=center_on_screen&amp;_doc_docfn=U2FsdGVkX190wlJ+wlpC3AUIeIbs/wQw9MnWG46oTUOXKnspail0iXwmcShmlCLFXPj12NEIZhAtGKMrKSsj70NW1M/pYTRF5VaE7aNfDVU=&amp;_app_id=central_doc_viewer&amp;center_on_screen=true&amp;width=950&amp;height=800&amp;_dd2=%26f%3Dsld%26c%3Dtrue%26os%3D429141%26oe%3D429146" TargetMode="External"/><Relationship Id="rId120" Type="http://schemas.openxmlformats.org/officeDocument/2006/relationships/hyperlink" Target="fdsup://factset/Doc%20Viewer%20Single?float_window=true&amp;positioning_strategy=center_on_screen&amp;_doc_docfn=U2FsdGVkX1+8+2DaxY6SFiuGVnjEKOXmsf4UzjhOhVj+0uSgL6FUztoAxHdKw1ep9g48cv3u9SfAD2KB3zr7YoYZhbP1hynmZ9ezy46a5Mg=&amp;_app_id=central_doc_viewer&amp;center_on_screen=true&amp;width=950&amp;height=800&amp;_dd2=%26f%3Dsld%26c%3Dtrue%26os%3D271899%26oe%3D271907" TargetMode="External"/><Relationship Id="rId141" Type="http://schemas.openxmlformats.org/officeDocument/2006/relationships/hyperlink" Target="fdsup://factset/Doc%20Viewer%20Single?float_window=true&amp;positioning_strategy=center_on_screen&amp;_doc_docfn=U2FsdGVkX19tNy8Jyl0R1d89BbTkv+uDwOgBAXdebMM15wcJ2gYPCYIL7e+k5w9KdF/85fU36Uqo5vEkLm/e628ogfVsCtK82YKCGN8B3X8=&amp;_app_id=central_doc_viewer&amp;center_on_screen=true&amp;width=950&amp;height=800&amp;_dd2=%26f%3Dsld%26c%3Dtrue%26os%3D252176%26oe%3D252181" TargetMode="External"/><Relationship Id="rId358" Type="http://schemas.openxmlformats.org/officeDocument/2006/relationships/hyperlink" Target="fdsup://factset/Doc%20Viewer%20Single?float_window=true&amp;positioning_strategy=center_on_screen&amp;_doc_docfn=U2FsdGVkX19QRZsu3vh0J5in7Bb5VOX5P7E+yl4pil0kyjWY7yaYV4hicAMCVgM97qwj0csWa8hG063z9WReucfelwsqu38l7fMikiJ5BVY=&amp;_app_id=central_doc_viewer&amp;center_on_screen=true&amp;width=950&amp;height=800&amp;_dd2=%26f%3Dsld%26c%3Dtrue%26os%3D267948%26oe%3D267953" TargetMode="External"/><Relationship Id="rId7" Type="http://schemas.openxmlformats.org/officeDocument/2006/relationships/hyperlink" Target="fdsup://factset/Doc%20Viewer%20Single?float_window=true&amp;positioning_strategy=center_on_screen&amp;_doc_docfn=U2FsdGVkX1/NTTPjG+zFbRThjK9cbVGVh8B+8OFwzE2CY3A4wcyOqdmtoV+HzRKnquu8/UoTfQJi8L+5rOta+G5M/MPLsc9rGPTHcYKL6uw=&amp;_app_id=central_doc_viewer&amp;center_on_screen=true&amp;width=950&amp;height=800&amp;_dd2=%26f%3Dsld%26c%3Dtrue%26os%3D266010%26oe%3D266016" TargetMode="External"/><Relationship Id="rId162" Type="http://schemas.openxmlformats.org/officeDocument/2006/relationships/hyperlink" Target="fdsup://factset/Doc%20Viewer%20Single?float_window=true&amp;positioning_strategy=center_on_screen&amp;_doc_docfn=U2FsdGVkX19Z9T9ggQyJi0kd1hiOJIA8Y2bwLpV41TyMoVyfd0gw8HCwUij1M7OsKORmbic+kIV7Uci1MpWn6g8ghsAnmPywwqsDmld6tEY=&amp;_app_id=central_doc_viewer&amp;center_on_screen=true&amp;width=950&amp;height=800&amp;_dd2=%26f%3Dsld%26c%3Dtrue%26os%3D252646%26oe%3D252651" TargetMode="External"/><Relationship Id="rId183" Type="http://schemas.openxmlformats.org/officeDocument/2006/relationships/hyperlink" Target="fdsup://factset/Doc%20Viewer%20Single?float_window=true&amp;positioning_strategy=center_on_screen&amp;_doc_docfn=U2FsdGVkX19kaDzoN/gyLRqvK8gDAiNa3dBkxjXJj1iR6KulH1FjOuP7bILY46ITNMP4LP0tnzJ2R1+ii+lCPStRzGljdCybpjC1vhhIRwg=&amp;_app_id=central_doc_viewer&amp;center_on_screen=true&amp;width=950&amp;height=800&amp;_dd2=%26f%3Dsld%26c%3Dtrue%26os%3D254622%26oe%3D254627" TargetMode="External"/><Relationship Id="rId218" Type="http://schemas.openxmlformats.org/officeDocument/2006/relationships/hyperlink" Target="fdsup://factset/Doc%20Viewer%20Single?float_window=true&amp;positioning_strategy=center_on_screen&amp;_doc_docfn=U2FsdGVkX19RIhwPhOK+L8Ph10U0wcFw1tP94nqBNSDetfEyaJxoU34xcir8oTG5nGfXj7cu0OBRLgCrcjYFPrfgHuUDb7VIyittI26fwJ0=&amp;_app_id=central_doc_viewer&amp;center_on_screen=true&amp;width=950&amp;height=800&amp;_dd2=%26f%3Dsld%26c%3Dtrue%26os%3D256786%26oe%3D256793" TargetMode="External"/><Relationship Id="rId239" Type="http://schemas.openxmlformats.org/officeDocument/2006/relationships/hyperlink" Target="fdsup://factset/Doc%20Viewer%20Single?float_window=true&amp;positioning_strategy=center_on_screen&amp;_doc_docfn=U2FsdGVkX19V4Ndegd3uJ+De0AFpbox9XgagSMYt/y1LpKic6hVOHY1557G2rlFxK9pNUSIUWtFOi0CjB/mp7XOlQFYXgofOEu0wHNLBsD8=&amp;_app_id=central_doc_viewer&amp;center_on_screen=true&amp;width=950&amp;height=800&amp;_dd2=%26f%3Dsld%26c%3Dtrue%26os%3D439146%26oe%3D439151" TargetMode="External"/><Relationship Id="rId250" Type="http://schemas.openxmlformats.org/officeDocument/2006/relationships/hyperlink" Target="fdsup://factset/Doc%20Viewer%20Single?float_window=true&amp;positioning_strategy=center_on_screen&amp;_doc_docfn=U2FsdGVkX1+CL+S4UfQ/lRzq5TI0lco7ZJ/MTfxq6ELGvt3zY9ts3AzYcz+eau7IHmSB8zh3oDrE3Tpq4WKww+EFu8Y08sCHPsgkgkGFYeI=&amp;_app_id=central_doc_viewer&amp;center_on_screen=true&amp;width=950&amp;height=800&amp;_dd2=%26f%3Dsld%26c%3Dtrue%26os%3D277522%26oe%3D277525" TargetMode="External"/><Relationship Id="rId271" Type="http://schemas.openxmlformats.org/officeDocument/2006/relationships/hyperlink" Target="fdsup://factset/Doc%20Viewer%20Single?float_window=true&amp;positioning_strategy=center_on_screen&amp;_doc_docfn=U2FsdGVkX1/hgWa/IuhZ7RFa4M35niBIdoRUcjVFsYXq09TOFNABJEU+taPdxohR5EfKLmC8PY1Ps3PAmswgPQx1Ym5sNUdW53n/CPrRpA4=&amp;_app_id=central_doc_viewer&amp;center_on_screen=true&amp;width=950&amp;height=800&amp;_dd2=%26f%3Dsld%26c%3Dtrue%26os%3D175522%26oe%3D175529" TargetMode="External"/><Relationship Id="rId292" Type="http://schemas.openxmlformats.org/officeDocument/2006/relationships/hyperlink" Target="fdsup://factset/Doc%20Viewer%20Single?float_window=true&amp;positioning_strategy=center_on_screen&amp;_doc_docfn=U2FsdGVkX1/xmrDb8KZ7MeAvK9tlUcktx9N3uca04UsGg730Hm09NeYhhWV3lOS4eyMuGE2jnJ5vD65xSMW+yarFaF5zsb5AIl4jAsc8YOA=&amp;_app_id=central_doc_viewer&amp;center_on_screen=true&amp;width=950&amp;height=800&amp;_dd2=%26f%3Dsld%26c%3Dtrue%26os%3D180579%26oe%3D180584" TargetMode="External"/><Relationship Id="rId306" Type="http://schemas.openxmlformats.org/officeDocument/2006/relationships/hyperlink" Target="fdsup://factset/Doc%20Viewer%20Single?float_window=true&amp;positioning_strategy=center_on_screen&amp;_doc_docfn=U2FsdGVkX1+FZufBWHeAdM+E0JZw3lzToOxGkB5Lky2ilTlGLupbTH85O2JeFuXeV8PxzAjfxzftJp4i/J40slXGQT0dkl3uRA9/h8sYiY4=&amp;_app_id=central_doc_viewer&amp;center_on_screen=true&amp;width=950&amp;height=800&amp;_dd2=%26f%3Dsld%26c%3Dtrue%26os%3D280678%26oe%3D280682" TargetMode="External"/><Relationship Id="rId24" Type="http://schemas.openxmlformats.org/officeDocument/2006/relationships/hyperlink" Target="fdsup://factset/Doc%20Viewer%20Single?float_window=true&amp;positioning_strategy=center_on_screen&amp;_doc_docfn=U2FsdGVkX18ssWwVi8xqM+z7xQZu5G8QEOEcZVMeGxHwdUukvOZShQ2fTwG4OS8yvLPZakyHwsjpjrPOeo2FcvUUx+oFAB1UZIRkhAN2t1M=&amp;_app_id=central_doc_viewer&amp;center_on_screen=true&amp;width=950&amp;height=800&amp;_dd2=%26f%3Dsld%26c%3Dtrue%26os%3D164500%26oe%3D164505" TargetMode="External"/><Relationship Id="rId45" Type="http://schemas.openxmlformats.org/officeDocument/2006/relationships/hyperlink" Target="fdsup://factset/Doc%20Viewer%20Single?float_window=true&amp;positioning_strategy=center_on_screen&amp;_doc_docfn=U2FsdGVkX1+UoCA8f24QUPkZmQe6eWXV8GhXk9o9vBKl+TIreAKT6eWpc91ZqTwRBsLmMnNCL4JSAQDGe2MxECmaV2Yoz8xZrtYJJeoI/yc=&amp;_app_id=central_doc_viewer&amp;center_on_screen=true&amp;width=950&amp;height=800&amp;_dd2=%26f%3Dsld%26c%3Dtrue%26os%3D166805%26oe%3D166809" TargetMode="External"/><Relationship Id="rId66" Type="http://schemas.openxmlformats.org/officeDocument/2006/relationships/hyperlink" Target="fdsup://factset/Doc%20Viewer%20Single?float_window=true&amp;positioning_strategy=center_on_screen&amp;_doc_docfn=U2FsdGVkX18ABXrSrDqmQxQ4CJORv7w7//yY1KhvW1BoA+UV5FI8I6/zIe4NjHjaFkNm+JkkVV7zDay5RFWvX2SasdkFifNNezSIJYDZ+gE=&amp;_app_id=central_doc_viewer&amp;center_on_screen=true&amp;width=950&amp;height=800&amp;_dd2=%26f%3Dsld%26c%3Dtrue%26os%3D168024%26oe%3D168031" TargetMode="External"/><Relationship Id="rId87" Type="http://schemas.openxmlformats.org/officeDocument/2006/relationships/hyperlink" Target="fdsup://factset/Doc%20Viewer%20Single?float_window=true&amp;positioning_strategy=center_on_screen&amp;_doc_docfn=U2FsdGVkX19IDZZTfEtnzaVtVnhruGgIEDRzYaJHck79ClPhUrB4ZibQM3CVc1ChCOMIqJfPj65beFHRZC1doLwZQ1da8lM5KOdJ9EGUUQU=&amp;_app_id=central_doc_viewer&amp;center_on_screen=true&amp;width=950&amp;height=800&amp;_dd2=%26f%3Dsld%26c%3Dtrue%26os%3D247478%26oe%3D247483" TargetMode="External"/><Relationship Id="rId110" Type="http://schemas.openxmlformats.org/officeDocument/2006/relationships/hyperlink" Target="fdsup://factset/Doc%20Viewer%20Single?float_window=true&amp;positioning_strategy=center_on_screen&amp;_doc_docfn=U2FsdGVkX1/vWYKMZxq4IQvditIIcibv9EZr/+eZlaGoivh8mW1mZkcxOsJzI2DRyfSrS79S+DcO+ey1tXyo2dehbcYu3qHRvyDf+iZqvdw=&amp;_app_id=central_doc_viewer&amp;center_on_screen=true&amp;width=950&amp;height=800&amp;_dd2=%26f%3Dsld%26c%3Dtrue%26os%3D265248%26oe%3D265253" TargetMode="External"/><Relationship Id="rId131" Type="http://schemas.openxmlformats.org/officeDocument/2006/relationships/hyperlink" Target="fdsup://factset/Doc%20Viewer%20Single?float_window=true&amp;positioning_strategy=center_on_screen&amp;_doc_docfn=U2FsdGVkX18+C4PrytCYEvCu8uVifhnHNNGQZDNnXgFojzHECozQuXd8DOeWXjUNbwCAd3f/1CvZ45VZQ5tv4J+k5GQ5jXPIqAn7TxMAe8o=&amp;_app_id=central_doc_viewer&amp;center_on_screen=true&amp;width=950&amp;height=800&amp;_dd2=%26f%3Dsld%26c%3Dtrue%26os%3D250607%26oe%3D250615" TargetMode="External"/><Relationship Id="rId327" Type="http://schemas.openxmlformats.org/officeDocument/2006/relationships/hyperlink" Target="fdsup://factset/Doc%20Viewer%20Single?float_window=true&amp;positioning_strategy=center_on_screen&amp;_doc_docfn=U2FsdGVkX188YeBKAGc/xMUdvbgIy7+jF6aPByOd1XS7p7R1PweLWwAOkdLCfGLlV245/CJclNbLRq5poM0IhShhIDiyj8WmxK1BpAPEiSQ=&amp;_app_id=central_doc_viewer&amp;center_on_screen=true&amp;width=950&amp;height=800&amp;_dd2=%26f%3Dsld%26c%3Dtrue%26os%3D281531%26oe%3D281536" TargetMode="External"/><Relationship Id="rId348" Type="http://schemas.openxmlformats.org/officeDocument/2006/relationships/hyperlink" Target="fdsup://factset/Doc%20Viewer%20Single?float_window=true&amp;positioning_strategy=center_on_screen&amp;_doc_docfn=U2FsdGVkX19f+OntRb8+BiJFrdkqFhF0DaXn7uU8yEePXhXe4v4SRW/hNOkIIaKU2wjCrI7SA0e12VAnC9xCBj+D8SV5eCmJlDBxnG2OeMM=&amp;_app_id=central_doc_viewer&amp;center_on_screen=true&amp;width=950&amp;height=800&amp;_dd2=%26f%3Dsld%26c%3Dtrue%26os%3D266855%26oe%3D266861" TargetMode="External"/><Relationship Id="rId369" Type="http://schemas.openxmlformats.org/officeDocument/2006/relationships/hyperlink" Target="fdsup://factset/Doc%20Viewer%20Single?float_window=true&amp;positioning_strategy=center_on_screen&amp;_doc_docfn=U2FsdGVkX1/i3sa1sOqfIq/jGjtjYcfWAvGU3KPuvrDbDY6Xm3wH36EzpzMKgZfrNR0x0g+u/pslSkg3Do6og7Y1H6aQDFJrwofDPDeMs0M=&amp;_app_id=central_doc_viewer&amp;center_on_screen=true&amp;width=950&amp;height=800&amp;_dd2=%26f%3Dsld%26c%3Dtrue%26os%3D269940%26oe%3D269945" TargetMode="External"/><Relationship Id="rId152" Type="http://schemas.openxmlformats.org/officeDocument/2006/relationships/hyperlink" Target="fdsup://factset/Doc%20Viewer%20Single?float_window=true&amp;positioning_strategy=center_on_screen&amp;_doc_docfn=U2FsdGVkX18r9+sYdUFC4zHY0dmM5bgxoOvBqv+CkasQJOnNpIp+y9E80NaiQpz/D7aYAostZ4c02fQYIjskS3M1yl9whiiosKCn5d10sy4=&amp;_app_id=central_doc_viewer&amp;center_on_screen=true&amp;width=950&amp;height=800&amp;_dd2=%26f%3Dsld%26c%3Dtrue%26os%3D253458%26oe%3D253463" TargetMode="External"/><Relationship Id="rId173" Type="http://schemas.openxmlformats.org/officeDocument/2006/relationships/hyperlink" Target="fdsup://factset/Doc%20Viewer%20Single?float_window=true&amp;positioning_strategy=center_on_screen&amp;_doc_docfn=U2FsdGVkX182859yQWCQb9bywaTvdWOzRNqVSmlbUK/xMs2ovj0cF4NYe+4Q7fq1rnn4AbsipUp0EpDnM4yunzwBPvaocczyV7jm6jgvysE=&amp;_app_id=central_doc_viewer&amp;center_on_screen=true&amp;width=950&amp;height=800&amp;_dd2=%26f%3Dsld%26c%3Dtrue%26os%3D265583%26oe%3D265591" TargetMode="External"/><Relationship Id="rId194" Type="http://schemas.openxmlformats.org/officeDocument/2006/relationships/hyperlink" Target="fdsup://factset/Doc%20Viewer%20Single?float_window=true&amp;positioning_strategy=center_on_screen&amp;_doc_docfn=U2FsdGVkX18/epVpAmMIOJK0Jfk6q7/vA6cQm4sEUMT1F+KksSZYG+Avt/iPSeTN1zkkseVafAIeHI07lap7Sn1a7Ve4QHI4NBz71jkLkLI=&amp;_app_id=central_doc_viewer&amp;center_on_screen=true&amp;width=950&amp;height=800&amp;_dd2=%26f%3Dsld%26c%3Dtrue%26os%3D165892%26oe%3D165899" TargetMode="External"/><Relationship Id="rId208" Type="http://schemas.openxmlformats.org/officeDocument/2006/relationships/hyperlink" Target="fdsup://factset/Doc%20Viewer%20Single?float_window=true&amp;positioning_strategy=center_on_screen&amp;_doc_docfn=U2FsdGVkX1/ZfvVjrMpAi3dcetZadiW2C9E45qPTvkv/H8Rwdsr/bvyxqLsKF7IsHlZUo9LqHU6FT9eBkAnMfiK1z2kefqn7te7prSMTsRk=&amp;_app_id=central_doc_viewer&amp;center_on_screen=true&amp;width=950&amp;height=800&amp;_dd2=%26f%3Dsld%26c%3Dtrue%26os%3D262854%26oe%3D262861" TargetMode="External"/><Relationship Id="rId229" Type="http://schemas.openxmlformats.org/officeDocument/2006/relationships/hyperlink" Target="fdsup://factset/Doc%20Viewer%20Single?float_window=true&amp;positioning_strategy=center_on_screen&amp;_doc_docfn=U2FsdGVkX189iJy207FRO0CYNLnInzAM/LE6WS8clQhh++lHVHIym/B48HhDkNEXe8bMRhrWzS0fD/uxuLx8rkPtHAcdSTXRej06V+TvYNo=&amp;_app_id=central_doc_viewer&amp;center_on_screen=true&amp;width=950&amp;height=800&amp;_dd2=%26f%3Dsld%26c%3Dtrue%26os%3D438389%26oe%3D438396" TargetMode="External"/><Relationship Id="rId240" Type="http://schemas.openxmlformats.org/officeDocument/2006/relationships/hyperlink" Target="fdsup://factset/Doc%20Viewer%20Single?float_window=true&amp;positioning_strategy=center_on_screen&amp;_doc_docfn=U2FsdGVkX18VQBeiFmvnmTkIOgLjDguNH/enopLDqZoBxkQy9a0d1aHjC3STGvVE2xsLHVKAFOJ1nnYR+NvBRKR1T1tvWb8R0flU5T57rR0=&amp;_app_id=central_doc_viewer&amp;center_on_screen=true&amp;width=950&amp;height=800&amp;_dd2=%26f%3Dsld%26c%3Dtrue%26os%3D274499%26oe%3D274504" TargetMode="External"/><Relationship Id="rId261" Type="http://schemas.openxmlformats.org/officeDocument/2006/relationships/hyperlink" Target="fdsup://factset/Doc%20Viewer%20Single?float_window=true&amp;positioning_strategy=center_on_screen&amp;_doc_docfn=U2FsdGVkX1/wYvHDRAExQT456LQQwOtCZ8HN51ONS/Kzd1iCGT6bKl6XRPlMyTYFNHAIXZE0N9DlFoKc+fKhhq98nP86/2xybotb6abofZo=&amp;_app_id=central_doc_viewer&amp;center_on_screen=true&amp;width=950&amp;height=800&amp;_dd2=%26f%3Dsld%26c%3Dtrue%26os%3D442912%26oe%3D442917" TargetMode="External"/><Relationship Id="rId14" Type="http://schemas.openxmlformats.org/officeDocument/2006/relationships/hyperlink" Target="fdsup://factset/Doc%20Viewer%20Single?float_window=true&amp;positioning_strategy=center_on_screen&amp;_doc_docfn=U2FsdGVkX1+68f2i13yzf3l4sne3rLg8VCyLbBzqAHWUVQ6D1LGA7mnzAJ4TqqjC5uB0vNQfXRDLyWuzkQGCb0Mwc5QskurDP9HADgorjc8=&amp;_app_id=central_doc_viewer&amp;center_on_screen=true&amp;width=950&amp;height=800&amp;_dd2=%26f%3Dsld%26c%3Dtrue%26os%3D163381%26oe%3D163387" TargetMode="External"/><Relationship Id="rId35" Type="http://schemas.openxmlformats.org/officeDocument/2006/relationships/hyperlink" Target="fdsup://factset/Doc%20Viewer%20Single?float_window=true&amp;positioning_strategy=center_on_screen&amp;_doc_docfn=U2FsdGVkX1/9v3RF1uBdU0Nc0T9v18eOsQIlLgPavsGIPPgkoTjLsOEp3RIoi2kEVKJQH2BeAMZ/HRllNTtfBQcbavRYaGi/xiM4YitJQko=&amp;_app_id=central_doc_viewer&amp;center_on_screen=true&amp;width=950&amp;height=800&amp;_dd2=%26f%3Dsld%26c%3Dtrue%26os%3D243430%26oe%3D243433" TargetMode="External"/><Relationship Id="rId56" Type="http://schemas.openxmlformats.org/officeDocument/2006/relationships/hyperlink" Target="fdsup://factset/Doc%20Viewer%20Single?float_window=true&amp;positioning_strategy=center_on_screen&amp;_doc_docfn=U2FsdGVkX1+U22yGfu/6ZHu1KtdyCR4RzN3A8wsGzftwN4RQOq9fpg76QpRAn6lxl5KUcAtb5w8HBdEWgP6pwtXgzuInKtAqvtR+FTbLKLM=&amp;_app_id=central_doc_viewer&amp;center_on_screen=true&amp;width=950&amp;height=800&amp;_dd2=%26f%3Dsld%26c%3Dtrue%26os%3D244151%26oe%3D244154" TargetMode="External"/><Relationship Id="rId77" Type="http://schemas.openxmlformats.org/officeDocument/2006/relationships/hyperlink" Target="fdsup://factset/Doc%20Viewer%20Single?float_window=true&amp;positioning_strategy=center_on_screen&amp;_doc_docfn=U2FsdGVkX1/xpU7kPig16nGQWfIGR57M5sI02ONCzqTbfn/Kk21kD7OAMI0wnAv6V6VOUOTRdzG88ULmbhLrmbrDDLfXiM2IVzVHyhu0j7k=&amp;_app_id=central_doc_viewer&amp;center_on_screen=true&amp;width=950&amp;height=800&amp;_dd2=%26f%3Dsld%26c%3Dtrue%26os%3D246711%26oe%3D246718" TargetMode="External"/><Relationship Id="rId100" Type="http://schemas.openxmlformats.org/officeDocument/2006/relationships/hyperlink" Target="fdsup://factset/Doc%20Viewer%20Single?float_window=true&amp;positioning_strategy=center_on_screen&amp;_doc_docfn=U2FsdGVkX1/YCXsQM/G847/xeHPWyaGl0P1QbOXHBZhQFM99X4rzbp7cMNAInSC3IrSumS5pG3KEidOTDsoQR/WSE/iTV6rxxIoT6L+iebc=&amp;_app_id=central_doc_viewer&amp;center_on_screen=true&amp;width=950&amp;height=800&amp;_dd2=%26f%3Dsld%26c%3Dtrue%26os%3D249261%26oe%3D249266" TargetMode="External"/><Relationship Id="rId282" Type="http://schemas.openxmlformats.org/officeDocument/2006/relationships/hyperlink" Target="fdsup://factset/Doc%20Viewer%20Single?float_window=true&amp;positioning_strategy=center_on_screen&amp;_doc_docfn=U2FsdGVkX18W7d9yqDLWE+1wMC0nCSQqPOeGbJh+VDKojfR08hQNPNuc1jbcCHcIGgfB9mNuTzqCvW4sTEEZqq0BQiqwUZYeMaHhmuHf2Jc=&amp;_app_id=central_doc_viewer&amp;center_on_screen=true&amp;width=950&amp;height=800&amp;_dd2=%26f%3Dsld%26c%3Dtrue%26os%3D179748%26oe%3D179755" TargetMode="External"/><Relationship Id="rId317" Type="http://schemas.openxmlformats.org/officeDocument/2006/relationships/hyperlink" Target="fdsup://factset/Doc%20Viewer%20Single?float_window=true&amp;positioning_strategy=center_on_screen&amp;_doc_docfn=U2FsdGVkX18PdOvyUzdxwL8VYgp4oMGzUZZk4ShHwZQqqMbt9GWDuRgJ1uGEqnKmASTPxCGwH1taL31uxARSZOb0R//pZSD/HKafQLsFcsU=&amp;_app_id=central_doc_viewer&amp;center_on_screen=true&amp;width=950&amp;height=800&amp;_dd2=%26f%3Dsld%26c%3Dtrue%26os%3D265926%26oe%3D265931" TargetMode="External"/><Relationship Id="rId338" Type="http://schemas.openxmlformats.org/officeDocument/2006/relationships/hyperlink" Target="fdsup://factset/Doc%20Viewer%20Single?float_window=true&amp;positioning_strategy=center_on_screen&amp;_doc_docfn=U2FsdGVkX19MD1PKBKAY1OLzVSsJ1Km4sTrvWHnSTs4dGjUO37an0TSJwURUJZPwEFk3dR1HOmbjAxTh3jACfkYWqA9YcpWNJKYeFOSRrRw=&amp;_app_id=central_doc_viewer&amp;center_on_screen=true&amp;width=950&amp;height=800&amp;_dd2=%26f%3Dsld%26c%3Dtrue%26os%3D1460920%26oe%3D1460926" TargetMode="External"/><Relationship Id="rId359" Type="http://schemas.openxmlformats.org/officeDocument/2006/relationships/hyperlink" Target="fdsup://factset/Doc%20Viewer%20Single?float_window=true&amp;positioning_strategy=center_on_screen&amp;_doc_docfn=U2FsdGVkX1/XfKnBXJPW9Yn1dOukb4+34wanTkDP4kBa2dja9g4HwWHgGaXVK7ZnUef64P7/6TKQAu98NH1Q15qYK2V673RUslTevIs35rQ=&amp;_app_id=central_doc_viewer&amp;center_on_screen=true&amp;width=950&amp;height=800&amp;_dd2=%26f%3Dsld%26c%3Dtrue%26os%3D269242%26oe%3D269247" TargetMode="External"/><Relationship Id="rId8" Type="http://schemas.openxmlformats.org/officeDocument/2006/relationships/hyperlink" Target="fdsup://factset/Doc%20Viewer%20Single?float_window=true&amp;positioning_strategy=center_on_screen&amp;_doc_docfn=U2FsdGVkX18spXLERpkS8moa5J9ZZjmhnunp8/TpIRCj1upGtIkGsBLnplFAA7pUKi2lbrva5dvRic5z/o3utw2CSC2llWWG+4Wh6l4A2cg=&amp;_app_id=central_doc_viewer&amp;center_on_screen=true&amp;width=950&amp;height=800&amp;_dd2=%26f%3Dsld%26c%3Dtrue%26os%3D249520%26oe%3D249526" TargetMode="External"/><Relationship Id="rId98" Type="http://schemas.openxmlformats.org/officeDocument/2006/relationships/hyperlink" Target="fdsup://factset/Doc%20Viewer%20Single?float_window=true&amp;positioning_strategy=center_on_screen&amp;_doc_docfn=U2FsdGVkX1/jSJ828Km4URCQQs5brS9qA3OAUkjZgO4O3eFMDxDqGxWjgC4Qh8MVvqVVUOLZCfpzbh9WfKFlgvx0zzKXVLl0PWRF6CWdoVA=&amp;_app_id=central_doc_viewer&amp;center_on_screen=true&amp;width=950&amp;height=800&amp;_dd2=%26f%3Dsld%26c%3Dtrue%26os%3D264472%26oe%3D264477" TargetMode="External"/><Relationship Id="rId121" Type="http://schemas.openxmlformats.org/officeDocument/2006/relationships/hyperlink" Target="fdsup://factset/Doc%20Viewer%20Single?float_window=true&amp;positioning_strategy=center_on_screen&amp;_doc_docfn=U2FsdGVkX1+auHuKtFGYaRf9fe0wLW740yk1EvuoU+50cGZaE0ZAMmfXjEM379t6kg3jJx0evzlavQNXcr5cYtToSizs+YtdGzAihycv6g8=&amp;_app_id=central_doc_viewer&amp;center_on_screen=true&amp;width=950&amp;height=800&amp;_dd2=%26f%3Dsld%26c%3Dtrue%26os%3D256163%26oe%3D256171" TargetMode="External"/><Relationship Id="rId142" Type="http://schemas.openxmlformats.org/officeDocument/2006/relationships/hyperlink" Target="fdsup://factset/Doc%20Viewer%20Single?float_window=true&amp;positioning_strategy=center_on_screen&amp;_doc_docfn=U2FsdGVkX1+jaBOGeM3GH9KZL/XhVJBSvt+JM6WdOYKDRlJnCotr+W9UFh2h2HVkG3812RKY39x5JWXi96nFRbegGnmIqPLVTGwDLcFPJr0=&amp;_app_id=central_doc_viewer&amp;center_on_screen=true&amp;width=950&amp;height=800&amp;_dd2=%26f%3Dsld%26c%3Dtrue%26os%3D253458%26oe%3D253463" TargetMode="External"/><Relationship Id="rId163" Type="http://schemas.openxmlformats.org/officeDocument/2006/relationships/hyperlink" Target="fdsup://factset/Doc%20Viewer%20Single?float_window=true&amp;positioning_strategy=center_on_screen&amp;_doc_docfn=U2FsdGVkX1+Fmp2Uv8JVkqWPcwfNHvbzalrsoLAjSd464x400RO2lqgQFZunPsQAkltrpXculoS+XeA+wtZvDzBUSamqTJJvaXT8JFfPEw8=&amp;_app_id=central_doc_viewer&amp;center_on_screen=true&amp;width=950&amp;height=800&amp;_dd2=%26f%3Dsld%26c%3Dtrue%26os%3D263895%26oe%3D263901" TargetMode="External"/><Relationship Id="rId184" Type="http://schemas.openxmlformats.org/officeDocument/2006/relationships/hyperlink" Target="fdsup://factset/Doc%20Viewer%20Single?float_window=true&amp;positioning_strategy=center_on_screen&amp;_doc_docfn=U2FsdGVkX18Jr6gJ+sIg8XeFfYqqFZXmRUXPATMiIwH0j69Y08EyJEfKRXE8dnNt9SlTf3KBNysUZxbteRjsCARhzSoMTLzguOfSV1Qp13E=&amp;_app_id=central_doc_viewer&amp;center_on_screen=true&amp;width=950&amp;height=800&amp;_dd2=%26f%3Dsld%26c%3Dtrue%26os%3D255905%26oe%3D255908" TargetMode="External"/><Relationship Id="rId219" Type="http://schemas.openxmlformats.org/officeDocument/2006/relationships/hyperlink" Target="fdsup://factset/Doc%20Viewer%20Single?float_window=true&amp;positioning_strategy=center_on_screen&amp;_doc_docfn=U2FsdGVkX1/EHGXMPhL2vf2LXn8So3AwdPNCG+yFHydLq0c+LOoan9Fw/TjsHx0KtPZE7UnCGzbyk0U4ZUcTUPHx0m+RZ7Tq9fSAOoJ7ouE=&amp;_app_id=central_doc_viewer&amp;center_on_screen=true&amp;width=950&amp;height=800&amp;_dd2=%26f%3Dsld%26c%3Dtrue%26os%3D437644%26oe%3D437651" TargetMode="External"/><Relationship Id="rId370" Type="http://schemas.openxmlformats.org/officeDocument/2006/relationships/hyperlink" Target="fdsup://factset/Doc%20Viewer%20Single?float_window=true&amp;positioning_strategy=center_on_screen&amp;_doc_docfn=U2FsdGVkX1/vLr7vVgjZdVXlcENEHEsxXrwUjsVvI71rmPO3a1r21f9wZ2eGXiV+IZ19BeL2LYi6nczP9HVGvotCoyfSdFegBV3/Nai3DM4=&amp;_app_id=central_doc_viewer&amp;center_on_screen=true&amp;width=950&amp;height=800&amp;_dd2=%26f%3Dsld%26c%3Dtrue%26os%3D284646%26oe%3D284651" TargetMode="External"/><Relationship Id="rId230" Type="http://schemas.openxmlformats.org/officeDocument/2006/relationships/hyperlink" Target="fdsup://factset/Doc%20Viewer%20Single?float_window=true&amp;positioning_strategy=center_on_screen&amp;_doc_docfn=U2FsdGVkX1+ajOyr1qUc91K92HtAKB1OV3ESRf0g1fBUmpN0zER0BZtLCPf07pnwfz92yJhGlRahiVesKgYLGYjVb5WuRemLTb64KMDgIoU=&amp;_app_id=central_doc_viewer&amp;center_on_screen=true&amp;width=950&amp;height=800&amp;_dd2=%26f%3Dsld%26c%3Dtrue%26os%3D273742%26oe%3D273749" TargetMode="External"/><Relationship Id="rId251" Type="http://schemas.openxmlformats.org/officeDocument/2006/relationships/hyperlink" Target="fdsup://factset/Doc%20Viewer%20Single?float_window=true&amp;positioning_strategy=center_on_screen&amp;_doc_docfn=U2FsdGVkX1+DDi92S/6MGof/9/LwqACCUk928S7czCbgnnuLBLoLHlA2Ibfsp9ZjFQv0HJc5EnSA7DWdLnh4xT5Oi29X8O1eA8XxbwaV/48=&amp;_app_id=central_doc_viewer&amp;center_on_screen=true&amp;width=950&amp;height=800&amp;_dd2=%26f%3Dsld%26c%3Dtrue%26os%3D261789%26oe%3D261794" TargetMode="External"/><Relationship Id="rId25" Type="http://schemas.openxmlformats.org/officeDocument/2006/relationships/hyperlink" Target="fdsup://factset/Doc%20Viewer%20Single?float_window=true&amp;positioning_strategy=center_on_screen&amp;_doc_docfn=U2FsdGVkX19iO6NUmCCoL0FqzFrv+bOiTyCCrxQXnnXuU7Pw0je7umegWJZmzKx19A7jDhSOA6JKTI43v8ueSCxVom0K7hACmX/f6NZJiXE=&amp;_app_id=central_doc_viewer&amp;center_on_screen=true&amp;width=950&amp;height=800&amp;_dd2=%26f%3Dsld%26c%3Dtrue%26os%3D242703%26oe%3D242708" TargetMode="External"/><Relationship Id="rId46" Type="http://schemas.openxmlformats.org/officeDocument/2006/relationships/hyperlink" Target="fdsup://factset/Doc%20Viewer%20Single?float_window=true&amp;positioning_strategy=center_on_screen&amp;_doc_docfn=U2FsdGVkX180eQCDjvdUpHWJBjczCiZLy02AGAVXIhe6ZKTbSpysMP099w3IHMD6oTinFuGXCDJY/h5XTUXgogR0X6BXJNxOP8s6RTBzFyE=&amp;_app_id=central_doc_viewer&amp;center_on_screen=true&amp;width=950&amp;height=800&amp;_dd2=%26f%3Dsld%26c%3Dtrue%26os%3D244843%26oe%3D244848" TargetMode="External"/><Relationship Id="rId67" Type="http://schemas.openxmlformats.org/officeDocument/2006/relationships/hyperlink" Target="fdsup://factset/Doc%20Viewer%20Single?float_window=true&amp;positioning_strategy=center_on_screen&amp;_doc_docfn=U2FsdGVkX1+1J/YMpWKE1n0FeeBwil/h5BPc5rNPLEUr5tSn+yW024dir3DRqJYOT3ban14HAsb5k520Uylm4OQfs1sesqUx9jFeap1DZYA=&amp;_app_id=central_doc_viewer&amp;center_on_screen=true&amp;width=950&amp;height=800&amp;_dd2=%26f%3Dsld%26c%3Dtrue%26os%3D245965%26oe%3D245968" TargetMode="External"/><Relationship Id="rId272" Type="http://schemas.openxmlformats.org/officeDocument/2006/relationships/hyperlink" Target="fdsup://factset/Doc%20Viewer%20Single?float_window=true&amp;positioning_strategy=center_on_screen&amp;_doc_docfn=U2FsdGVkX189PflEnhItG9x7Y/RMuHycJGv2JlJtTVsbb3Fd0wn4k7wY1NOGb7a9tbyHRQLRB3tI6XPDxOLIObG1sn1+qHwHReknWsOau9s=&amp;_app_id=central_doc_viewer&amp;center_on_screen=true&amp;width=950&amp;height=800&amp;_dd2=%26f%3Dsld%26c%3Dtrue%26os%3D178926%26oe%3D178933" TargetMode="External"/><Relationship Id="rId293" Type="http://schemas.openxmlformats.org/officeDocument/2006/relationships/hyperlink" Target="fdsup://factset/Doc%20Viewer%20Single?float_window=true&amp;positioning_strategy=center_on_screen&amp;_doc_docfn=U2FsdGVkX1/zPWnzXWZRuVKBCa/UXeupuNFd2KCGFk+mabn8hI9lpSs1CK1q1TOZD89ReHZnloYZQUN6DdKrtMW/dN20H+xAssrMtU8XqB8=&amp;_app_id=central_doc_viewer&amp;center_on_screen=true&amp;width=950&amp;height=800&amp;_dd2=%26f%3Dsld%26c%3Dtrue%26os%3D183695%26oe%3D183700" TargetMode="External"/><Relationship Id="rId307" Type="http://schemas.openxmlformats.org/officeDocument/2006/relationships/hyperlink" Target="fdsup://factset/Doc%20Viewer%20Single?float_window=true&amp;positioning_strategy=center_on_screen&amp;_doc_docfn=U2FsdGVkX19d5mOA2eTIqMhooUN+kPLw92J9gJCQdX90jlsruYEW+on1tSl6FNWivUgsE5SPlLtrkf9I7uhaISJPfFCAkpNz351F7AgY68w=&amp;_app_id=central_doc_viewer&amp;center_on_screen=true&amp;width=950&amp;height=800&amp;_dd2=%26f%3Dsld%26c%3Dtrue%26os%3D264997%26oe%3D264999" TargetMode="External"/><Relationship Id="rId328" Type="http://schemas.openxmlformats.org/officeDocument/2006/relationships/hyperlink" Target="fdsup://factset/Doc%20Viewer%20Single?float_window=true&amp;positioning_strategy=center_on_screen&amp;_doc_docfn=U2FsdGVkX1+U6eGDQfcI1gFidYV2RXExxGspLs8Zx/FmCNUkhwa4rdwh5sl9uBHaOXxVguhSiSMyxjDsxZoNiFYySh4e2dibLMjkdHRf0SU=&amp;_app_id=central_doc_viewer&amp;center_on_screen=true&amp;width=950&amp;height=800&amp;_dd2=%26f%3Dsld%26c%3Dtrue%26os%3D265926%26oe%3D265931" TargetMode="External"/><Relationship Id="rId349" Type="http://schemas.openxmlformats.org/officeDocument/2006/relationships/hyperlink" Target="fdsup://factset/Doc%20Viewer%20Single?float_window=true&amp;positioning_strategy=center_on_screen&amp;_doc_docfn=U2FsdGVkX194DrM/nYmI8kfptI8Tpbi7oPyrFZMkQ+5pyFMfKf1pD0dffagbcnrYLSU9oqtZmvU8TM9Z09JjhrNFP0rjHxEUk/jQ+wAP9wY=&amp;_app_id=central_doc_viewer&amp;center_on_screen=true&amp;width=950&amp;height=800&amp;_dd2=%26f%3Dsld%26c%3Dtrue%26os%3D268149%26oe%3D268155" TargetMode="External"/><Relationship Id="rId88" Type="http://schemas.openxmlformats.org/officeDocument/2006/relationships/hyperlink" Target="fdsup://factset/Doc%20Viewer%20Single?float_window=true&amp;positioning_strategy=center_on_screen&amp;_doc_docfn=U2FsdGVkX18IELcaRnUM+i8Nq5IBWfiQI9nouZSTBkFa/uiF0lpmAAUM+eUBtWmoZtkgHJYUiP6QrQWEFxGss1oxZ54UJL2thaiRcwXbn3s=&amp;_app_id=central_doc_viewer&amp;center_on_screen=true&amp;width=950&amp;height=800&amp;_dd2=%26f%3Dsld%26c%3Dtrue%26os%3D428333%26oe%3D428336" TargetMode="External"/><Relationship Id="rId111" Type="http://schemas.openxmlformats.org/officeDocument/2006/relationships/hyperlink" Target="fdsup://factset/Doc%20Viewer%20Single?float_window=true&amp;positioning_strategy=center_on_screen&amp;_doc_docfn=U2FsdGVkX19Xg+nEg/hJRZS+df9Mao9+RAwdasTJIxjNkAlAq14NWcMFh/EZtRVeGYtzH3L58Toaj/+yMP9Xv0wP980oPhviklN1YNpTWJc=&amp;_app_id=central_doc_viewer&amp;center_on_screen=true&amp;width=950&amp;height=800&amp;_dd2=%26f%3Dsld%26c%3Dtrue%26os%3D248758%26oe%3D248761" TargetMode="External"/><Relationship Id="rId132" Type="http://schemas.openxmlformats.org/officeDocument/2006/relationships/hyperlink" Target="fdsup://factset/Doc%20Viewer%20Single?float_window=true&amp;positioning_strategy=center_on_screen&amp;_doc_docfn=U2FsdGVkX18BtlZQa+vFxmgYW40U6uH8c9m6YBt+aVcvjZ0KWI/nVooJTvRMrzYHwcVqdcJ1QOQm5XChuiTCQVcW3dgX46LLicOPZkZjyF0=&amp;_app_id=central_doc_viewer&amp;center_on_screen=true&amp;width=950&amp;height=800&amp;_dd2=%26f%3Dsld%26c%3Dtrue%26os%3D251889%26oe%3D251897" TargetMode="External"/><Relationship Id="rId153" Type="http://schemas.openxmlformats.org/officeDocument/2006/relationships/hyperlink" Target="fdsup://factset/Doc%20Viewer%20Single?float_window=true&amp;positioning_strategy=center_on_screen&amp;_doc_docfn=U2FsdGVkX18vkrMDtvgid6uKJjZfjYgEhkhdLkqiDkkZvbURkRkmHiQVE1AA4eHowFZkLp+AJKF8TNL234IocOhvZpS/g5hiM68FFp+vzog=&amp;_app_id=central_doc_viewer&amp;center_on_screen=true&amp;width=950&amp;height=800&amp;_dd2=%26f%3Dsld%26c%3Dtrue%26os%3D264708%26oe%3D264713" TargetMode="External"/><Relationship Id="rId174" Type="http://schemas.openxmlformats.org/officeDocument/2006/relationships/hyperlink" Target="fdsup://factset/Doc%20Viewer%20Single?float_window=true&amp;positioning_strategy=center_on_screen&amp;_doc_docfn=U2FsdGVkX19d3XQ34DNz6+74GkkHPpvxA7cVGh02EDUUPDksNJ1vOcNYxjgJw+wHGCF+JImziO9oPnadgUzXXyPWH0Ht4ekjlH/HbpODTSI=&amp;_app_id=central_doc_viewer&amp;center_on_screen=true&amp;width=950&amp;height=800&amp;_dd2=%26f%3Dsld%26c%3Dtrue%26os%3D267185%26oe%3D267192" TargetMode="External"/><Relationship Id="rId195" Type="http://schemas.openxmlformats.org/officeDocument/2006/relationships/hyperlink" Target="fdsup://factset/Doc%20Viewer%20Single?float_window=true&amp;positioning_strategy=center_on_screen&amp;_doc_docfn=U2FsdGVkX18bn1N4MyfQqBhBTVzpthNQ/ju1Xo0OISu+dPjoWiqEvHBHJi/1Fd3uPVAUOmCsxSNLuY5oP5xdIMJBmRiNg947nS99icQxCFc=&amp;_app_id=central_doc_viewer&amp;center_on_screen=true&amp;width=950&amp;height=800&amp;_dd2=%26f%3Dsld%26c%3Dtrue%26os%3D169374%26oe%3D169381" TargetMode="External"/><Relationship Id="rId209" Type="http://schemas.openxmlformats.org/officeDocument/2006/relationships/hyperlink" Target="fdsup://factset/Doc%20Viewer%20Single?float_window=true&amp;positioning_strategy=center_on_screen&amp;_doc_docfn=U2FsdGVkX19BVmEi/OxbnmJkRm+GnHznMeZC4vrqWA2zchP1keHnNmYKbxoglh2LPg405Q3X7vjts/VpRW9GRjrjpqAkfRthYMjgRvI2sMg=&amp;_app_id=central_doc_viewer&amp;center_on_screen=true&amp;width=950&amp;height=800&amp;_dd2=%26f%3Dsld%26c%3Dtrue%26os%3D443715%26oe%3D443722" TargetMode="External"/><Relationship Id="rId360" Type="http://schemas.openxmlformats.org/officeDocument/2006/relationships/hyperlink" Target="fdsup://factset/Doc%20Viewer%20Single?float_window=true&amp;positioning_strategy=center_on_screen&amp;_doc_docfn=U2FsdGVkX1/0kygnwOSntbvHOM+Dpvo8uxISFmXlrCpMuTA48VIFG+DPHpkje6gTRriv4yItEvdoWFc0+f+EsvzRi0NA+/wpO4kTNDvm8rU=&amp;_app_id=central_doc_viewer&amp;center_on_screen=true&amp;width=950&amp;height=800&amp;_dd2=%26f%3Dsld%26c%3Dtrue%26os%3D283948%26oe%3D283953" TargetMode="External"/><Relationship Id="rId220" Type="http://schemas.openxmlformats.org/officeDocument/2006/relationships/hyperlink" Target="fdsup://factset/Doc%20Viewer%20Single?float_window=true&amp;positioning_strategy=center_on_screen&amp;_doc_docfn=U2FsdGVkX1/ElEYu8YyDNBpLA2M2chU7ehCWuzmDlSBE3jd4oDjZkIVC6/LOizUDVPLUs8fpltRLLYcSYG1KuyKz+NqESv8ol1KR49xI9dQ=&amp;_app_id=central_doc_viewer&amp;center_on_screen=true&amp;width=950&amp;height=800&amp;_dd2=%26f%3Dsld%26c%3Dtrue%26os%3D272997%26oe%3D273004" TargetMode="External"/><Relationship Id="rId241" Type="http://schemas.openxmlformats.org/officeDocument/2006/relationships/hyperlink" Target="fdsup://factset/Doc%20Viewer%20Single?float_window=true&amp;positioning_strategy=center_on_screen&amp;_doc_docfn=U2FsdGVkX19SKlcmo5BPUnuZnhs1tliwwUMK+wUpncEAXDzXoZ/2/EMnIkFl1fU/d8iFpbPQflzW57zT5pyB/a5Oym4Fw7oKCEFkE04Toys=&amp;_app_id=central_doc_viewer&amp;center_on_screen=true&amp;width=950&amp;height=800&amp;_dd2=%26f%3Dsld%26c%3Dtrue%26os%3D258763%26oe%3D258768" TargetMode="External"/><Relationship Id="rId15" Type="http://schemas.openxmlformats.org/officeDocument/2006/relationships/hyperlink" Target="fdsup://factset/Doc%20Viewer%20Single?float_window=true&amp;positioning_strategy=center_on_screen&amp;_doc_docfn=U2FsdGVkX1+LJObzwO+EnfPu3jRsevsOnV1DY0blNMYr27Iy/I3XONzTMqiYxLvQsGi64uCvHHjSrDrkKZgSr5/Vs0pm5zASohRPNr/ereU=&amp;_app_id=central_doc_viewer&amp;center_on_screen=true&amp;width=950&amp;height=800&amp;_dd2=%26f%3Dsld%26c%3Dtrue%26os%3D241679%26oe%3D241685" TargetMode="External"/><Relationship Id="rId36" Type="http://schemas.openxmlformats.org/officeDocument/2006/relationships/hyperlink" Target="fdsup://factset/Doc%20Viewer%20Single?float_window=true&amp;positioning_strategy=center_on_screen&amp;_doc_docfn=U2FsdGVkX18og4/3tppbDZmr+7Efi6bETN4o4WfvmLn/NFh85+44BP63NhYSbrEwauk+xMt9D0y81gZlidbSpVcl1hAaO/FboXK7JCQS0ho=&amp;_app_id=central_doc_viewer&amp;center_on_screen=true&amp;width=950&amp;height=800&amp;_dd2=%26f%3Dsld%26c%3Dtrue%26os%3D424288%26oe%3D424291" TargetMode="External"/><Relationship Id="rId57" Type="http://schemas.openxmlformats.org/officeDocument/2006/relationships/hyperlink" Target="fdsup://factset/Doc%20Viewer%20Single?float_window=true&amp;positioning_strategy=center_on_screen&amp;_doc_docfn=U2FsdGVkX1+1vEBvckex1todcxv8WLzthq30r7vgqtm/jaym8fzhiuFlM8o2mF/6CyL5Bb/XtSVBhIVytyqQISxZ+oC/WjarLR6Lw166Nak=&amp;_app_id=central_doc_viewer&amp;center_on_screen=true&amp;width=950&amp;height=800&amp;_dd2=%26f%3Dsld%26c%3Dtrue%26os%3D425007%26oe%3D425010" TargetMode="External"/><Relationship Id="rId262" Type="http://schemas.openxmlformats.org/officeDocument/2006/relationships/hyperlink" Target="fdsup://factset/Doc%20Viewer%20Single?float_window=true&amp;positioning_strategy=center_on_screen&amp;_doc_docfn=U2FsdGVkX180EGKqMYjKVoE11JXxoiAN1dnTlO4twbOBC1Wsbx545IONuULKbEKuIZZHsRUlVJ0y3h1ich3grYQzNJkQUzo1mvwSiBjRslg=&amp;_app_id=central_doc_viewer&amp;center_on_screen=true&amp;width=950&amp;height=800&amp;_dd2=%26f%3Dsld%26c%3Dtrue%26os%3D278291%26oe%3D278298" TargetMode="External"/><Relationship Id="rId283" Type="http://schemas.openxmlformats.org/officeDocument/2006/relationships/hyperlink" Target="fdsup://factset/Doc%20Viewer%20Single?float_window=true&amp;positioning_strategy=center_on_screen&amp;_doc_docfn=U2FsdGVkX1+M9g9DIfgsahq+SKTt3UqCUyz+VHY8xf4EXT1+x8eCN+Uzo0g/XUwusdhbv/EK9Mf1ligTvG5i2Lx8lUgORyUpgo/27UsMcCc=&amp;_app_id=central_doc_viewer&amp;center_on_screen=true&amp;width=950&amp;height=800&amp;_dd2=%26f%3Dsld%26c%3Dtrue%26os%3D182864%26oe%3D182869" TargetMode="External"/><Relationship Id="rId318" Type="http://schemas.openxmlformats.org/officeDocument/2006/relationships/hyperlink" Target="fdsup://factset/Doc%20Viewer%20Single?float_window=true&amp;positioning_strategy=center_on_screen&amp;_doc_docfn=U2FsdGVkX19dkat4of8WD2yIpTAVyzZlMzvZgXAajzhEpXDN7Y9+DXaMigz+o1LR19TxNEdzMi0Q8XiOn+rRre2+c+iXM81odiXqRlmA1og=&amp;_app_id=central_doc_viewer&amp;center_on_screen=true&amp;width=950&amp;height=800&amp;_dd2=%26f%3Dsld%26c%3Dtrue%26os%3D267220%26oe%3D267225" TargetMode="External"/><Relationship Id="rId339" Type="http://schemas.openxmlformats.org/officeDocument/2006/relationships/hyperlink" Target="fdsup://factset/Doc%20Viewer%20Single?float_window=true&amp;positioning_strategy=center_on_screen&amp;_doc_docfn=U2FsdGVkX19/brbKt9JfNCcBp9VyKbthTpYCsADZqWlzq7LLEcj8P3ukBSL0VVD6+mSNsp0tctPu4HXzUsfsiofUm71EJTiidGww597vWQw=&amp;_app_id=central_doc_viewer&amp;center_on_screen=true&amp;width=950&amp;height=800&amp;_dd2=%26f%3Dsld%26c%3Dtrue%26os%3D1243764%26oe%3D1243770" TargetMode="External"/><Relationship Id="rId78" Type="http://schemas.openxmlformats.org/officeDocument/2006/relationships/hyperlink" Target="fdsup://factset/Doc%20Viewer%20Single?float_window=true&amp;positioning_strategy=center_on_screen&amp;_doc_docfn=U2FsdGVkX1+Dp7yGHQjD23MmHQB8yTrwpDNhWIu5Z0c01L9mU1Dh2l3pUI5v9lLVw4qTpRL0u0Z3+nPLcgrCNlb4FDXcGGZ9wSfQgl5wNTg=&amp;_app_id=central_doc_viewer&amp;center_on_screen=true&amp;width=950&amp;height=800&amp;_dd2=%26f%3Dsld%26c%3Dtrue%26os%3D427564%26oe%3D427571" TargetMode="External"/><Relationship Id="rId99" Type="http://schemas.openxmlformats.org/officeDocument/2006/relationships/hyperlink" Target="fdsup://factset/Doc%20Viewer%20Single?float_window=true&amp;positioning_strategy=center_on_screen&amp;_doc_docfn=U2FsdGVkX1+KRMR4f6MSUiznBnC25mIW5Pwu3hxexrvRwxx2tBwGuXuqxZrsvpwvwunpw1L6fRP6CMo+TCPB2hLEyivqqTg0Ol73OWmVl+Q=&amp;_app_id=central_doc_viewer&amp;center_on_screen=true&amp;width=950&amp;height=800&amp;_dd2=%26f%3Dsld%26c%3Dtrue%26os%3D247979%26oe%3D247984" TargetMode="External"/><Relationship Id="rId101" Type="http://schemas.openxmlformats.org/officeDocument/2006/relationships/hyperlink" Target="fdsup://factset/Doc%20Viewer%20Single?float_window=true&amp;positioning_strategy=center_on_screen&amp;_doc_docfn=U2FsdGVkX19fvOoWYMpGQS5gSB/Trquw5hAQ1XDCUvdORwLODpmjGi3SQiaDY90kKga9A1PGgQtacWpukTao7awKkdpDvVmcM/oQTtvTL3k=&amp;_app_id=central_doc_viewer&amp;center_on_screen=true&amp;width=950&amp;height=800&amp;_dd2=%26f%3Dsld%26c%3Dtrue%26os%3D260509%26oe%3D260514" TargetMode="External"/><Relationship Id="rId122" Type="http://schemas.openxmlformats.org/officeDocument/2006/relationships/hyperlink" Target="fdsup://factset/Doc%20Viewer%20Single?float_window=true&amp;positioning_strategy=center_on_screen&amp;_doc_docfn=U2FsdGVkX1+yQkkIgwfvnSynfLqeyDuDJt2+LS/IiBTWfJ6TtyvTdNhv0LnNSXXNJC5fwqvfSEWxhKfkfkko/lB78L3LoMGCy8tkAhs0r38=&amp;_app_id=central_doc_viewer&amp;center_on_screen=true&amp;width=950&amp;height=800&amp;_dd2=%26f%3Dsld%26c%3Dtrue%26os%3D257447%26oe%3D257455" TargetMode="External"/><Relationship Id="rId143" Type="http://schemas.openxmlformats.org/officeDocument/2006/relationships/hyperlink" Target="fdsup://factset/Doc%20Viewer%20Single?float_window=true&amp;positioning_strategy=center_on_screen&amp;_doc_docfn=U2FsdGVkX19no4s6a21JQ4YaGbqZTOoSFJVG/l3y5HqLXmJxei4vCvTReXXejKOWZ5eVSjbL2VA6k7QR4kfTUSz07Ss9ZkFIo04DE/mt7GU=&amp;_app_id=central_doc_viewer&amp;center_on_screen=true&amp;width=950&amp;height=800&amp;_dd2=%26f%3Dsld%26c%3Dtrue%26os%3D264708%26oe%3D264713" TargetMode="External"/><Relationship Id="rId164" Type="http://schemas.openxmlformats.org/officeDocument/2006/relationships/hyperlink" Target="fdsup://factset/Doc%20Viewer%20Single?float_window=true&amp;positioning_strategy=center_on_screen&amp;_doc_docfn=U2FsdGVkX1921niAexxiaxtWLZmZ27juk8gYzrno1JLw1lU5cYOoc6jHrE5m7nQArJvXb0sgC4ZTPhBwlxZwISmbYeMqKyXeXmq6xDDIbaM=&amp;_app_id=central_doc_viewer&amp;center_on_screen=true&amp;width=950&amp;height=800&amp;_dd2=%26f%3Dsld%26c%3Dtrue%26os%3D165023%26oe%3D165031" TargetMode="External"/><Relationship Id="rId185" Type="http://schemas.openxmlformats.org/officeDocument/2006/relationships/hyperlink" Target="fdsup://factset/Doc%20Viewer%20Single?float_window=true&amp;positioning_strategy=center_on_screen&amp;_doc_docfn=U2FsdGVkX18apJaC/kgmW+HExjWgongO9KlB1UtpL3f6GZExww/Pf0xVmpiLU/uZwyONS5pJDng8U3j9LyJLoMU8+ki2/z+AbvxEudfKvfs=&amp;_app_id=central_doc_viewer&amp;center_on_screen=true&amp;width=950&amp;height=800&amp;_dd2=%26f%3Dsld%26c%3Dtrue%26os%3D268698%26oe%3D268703" TargetMode="External"/><Relationship Id="rId350" Type="http://schemas.openxmlformats.org/officeDocument/2006/relationships/hyperlink" Target="fdsup://factset/Doc%20Viewer%20Single?float_window=true&amp;positioning_strategy=center_on_screen&amp;_doc_docfn=U2FsdGVkX19oCIy1PkSNpG4QI0BEDhWhzBX1RPqFSU3slUNDdxeTI7U5/s4d5c2RUbJhBE5m1a/5k5I7JgeQ+0VS2O+f3+xzbA8XWNnvsZk=&amp;_app_id=central_doc_viewer&amp;center_on_screen=true&amp;width=950&amp;height=800&amp;_dd2=%26f%3Dsld%26c%3Dtrue%26os%3D282855%26oe%3D282861" TargetMode="External"/><Relationship Id="rId371" Type="http://schemas.openxmlformats.org/officeDocument/2006/relationships/hyperlink" Target="fdsup://factset/Doc%20Viewer%20Single?float_window=true&amp;positioning_strategy=center_on_screen&amp;_doc_docfn=U2FsdGVkX1+qpEM74mVhVO1RV72PlMPjhbgcBLTQ2I1yZfaueq3SYanYUAteTwgk3phjjF5zMvJF8Lvq8eWPbr6RKlAS4KbSz+BzGCe76n0=&amp;_app_id=central_doc_viewer&amp;center_on_screen=true&amp;width=950&amp;height=800&amp;_dd2=%26f%3Dsld%26c%3Dtrue%26os%3D189385%26oe%3D189390" TargetMode="External"/><Relationship Id="rId4" Type="http://schemas.openxmlformats.org/officeDocument/2006/relationships/hyperlink" Target="fdsup://factset/Doc%20Viewer%20Single?float_window=true&amp;positioning_strategy=center_on_screen&amp;_doc_docfn=U2FsdGVkX1+yOLb0TcEa/VEGUiAnlJXA+WemZhiCKWTZ/hJwZEYIDfDyQcBun0DbB3HAjD4hwGMoSkLNtqoX75APU5QJFwlmJaTGbHy8L84=&amp;_app_id=central_doc_viewer&amp;center_on_screen=true&amp;width=950&amp;height=800&amp;_dd2=%26f%3Dsld%26c%3Dtrue%26os%3D172164%26oe%3D172170" TargetMode="External"/><Relationship Id="rId9" Type="http://schemas.openxmlformats.org/officeDocument/2006/relationships/hyperlink" Target="fdsup://factset/Doc%20Viewer%20Single?float_window=true&amp;positioning_strategy=center_on_screen&amp;_doc_docfn=U2FsdGVkX1+Pl80rlJ6Fuxm35+CGW5e7HkdJNDEVwNG87IzznqU0eeVVuSZ4UfOcXnA9Bxyp5/DU8vSAHqHF6uCmM7mFio6te/vesMK3RU0=&amp;_app_id=central_doc_viewer&amp;center_on_screen=true&amp;width=950&amp;height=800&amp;_dd2=%26f%3Dsld%26c%3Dtrue%26os%3D250802%26oe%3D250808" TargetMode="External"/><Relationship Id="rId180" Type="http://schemas.openxmlformats.org/officeDocument/2006/relationships/hyperlink" Target="fdsup://factset/Doc%20Viewer%20Single?float_window=true&amp;positioning_strategy=center_on_screen&amp;_doc_docfn=U2FsdGVkX18Ken/74BmfmgsTaH5TkFtOCS0LB11oR51U47C2Sq2LQ+wyDPp2Xp0+hDvzjyCHKgtofmNRMYN0C4Y2VZvRA2M7aj3vAGG8g0I=&amp;_app_id=central_doc_viewer&amp;center_on_screen=true&amp;width=950&amp;height=800&amp;_dd2=%26f%3Dsld%26c%3Dtrue%26os%3D254894%26oe%3D254897" TargetMode="External"/><Relationship Id="rId210" Type="http://schemas.openxmlformats.org/officeDocument/2006/relationships/hyperlink" Target="fdsup://factset/Doc%20Viewer%20Single?float_window=true&amp;positioning_strategy=center_on_screen&amp;_doc_docfn=U2FsdGVkX18AcDTGHZyZhwoVMvHQeVn32tjVKp7gOBaAd8XvBTUHPqAPIFzILId6lehmuAN4uYkerrzslSUpIvZzvWnlTss8ZNPr+2JcyW4=&amp;_app_id=central_doc_viewer&amp;center_on_screen=true&amp;width=950&amp;height=800&amp;_dd2=%26f%3Dsld%26c%3Dtrue%26os%3D279864%26oe%3D279871" TargetMode="External"/><Relationship Id="rId215" Type="http://schemas.openxmlformats.org/officeDocument/2006/relationships/hyperlink" Target="fdsup://factset/Doc%20Viewer%20Single?float_window=true&amp;positioning_strategy=center_on_screen&amp;_doc_docfn=U2FsdGVkX18SbM2XM9J1LhoBdf7fN9M29QSK1fbVjakZjbjqRP8i0/FPrQEp8AGNzD/WmoVjS+va/oubJBzJnl6QydZmW6OJmrnA83pIaPQ=&amp;_app_id=central_doc_viewer&amp;center_on_screen=true&amp;width=950&amp;height=800&amp;_dd2=%26f%3Dsld%26c%3Dtrue%26os%3D173121%26oe%3D173128" TargetMode="External"/><Relationship Id="rId236" Type="http://schemas.openxmlformats.org/officeDocument/2006/relationships/hyperlink" Target="fdsup://factset/Doc%20Viewer%20Single?float_window=true&amp;positioning_strategy=center_on_screen&amp;_doc_docfn=U2FsdGVkX1/akndR9C4V8DI7aECPA+YjHkUMSmJb6pYE/2HsOvHo7PndjAdU6mAVWHnYVjzKib121vljgO317eysLjsOnHlIpiloLbGHDF4=&amp;_app_id=central_doc_viewer&amp;center_on_screen=true&amp;width=950&amp;height=800&amp;_dd2=%26f%3Dsld%26c%3Dtrue%26os%3D178138%26oe%3D178141" TargetMode="External"/><Relationship Id="rId257" Type="http://schemas.openxmlformats.org/officeDocument/2006/relationships/hyperlink" Target="fdsup://factset/Doc%20Viewer%20Single?float_window=true&amp;positioning_strategy=center_on_screen&amp;_doc_docfn=U2FsdGVkX18Zwo2i5ExS/8ZKD5JFDV76r7Ws3go2/BLRQjIKwt5n9tangkAFINbFt6Vxu2G336Tw5wu2uqPuOgyiKa3oizHC8GxB54WKnBg=&amp;_app_id=central_doc_viewer&amp;center_on_screen=true&amp;width=950&amp;height=800&amp;_dd2=%26f%3Dsld%26c%3Dtrue%26os%3D178776%26oe%3D178781" TargetMode="External"/><Relationship Id="rId278" Type="http://schemas.openxmlformats.org/officeDocument/2006/relationships/hyperlink" Target="fdsup://factset/Doc%20Viewer%20Single?float_window=true&amp;positioning_strategy=center_on_screen&amp;_doc_docfn=U2FsdGVkX1+ZUMch2tpElWtCNhuobp4DG3693L967eB1ANHxotCg4Q0mVxRIgfPchN6lGb1iB42PWDRUzgAg20CmlE74swvCKXNkDITGlrE=&amp;_app_id=central_doc_viewer&amp;center_on_screen=true&amp;width=950&amp;height=800&amp;_dd2=%26f%3Dsld%26c%3Dtrue%26os%3D260787%26oe%3D260794" TargetMode="External"/><Relationship Id="rId26" Type="http://schemas.openxmlformats.org/officeDocument/2006/relationships/hyperlink" Target="fdsup://factset/Doc%20Viewer%20Single?float_window=true&amp;positioning_strategy=center_on_screen&amp;_doc_docfn=U2FsdGVkX1873rGECo9p6Wrf8IEVHfTr7dKr1k4SaygFpNPxhfh8yqzAgV5SbkvYgVBzswu9R9+7dvd0CoTbtaQE4IljOg0zXlt5AM/iS08=&amp;_app_id=central_doc_viewer&amp;center_on_screen=true&amp;width=950&amp;height=800&amp;_dd2=%26f%3Dsld%26c%3Dtrue%26os%3D423563%26oe%3D423568" TargetMode="External"/><Relationship Id="rId231" Type="http://schemas.openxmlformats.org/officeDocument/2006/relationships/hyperlink" Target="fdsup://factset/Doc%20Viewer%20Single?float_window=true&amp;positioning_strategy=center_on_screen&amp;_doc_docfn=U2FsdGVkX1+lDdJVY7bS4wy9uiLr0FqpGa/UfT79DAwvONxynC2bl50UDvGo8wZQkYIANNRS9+hMFdd4hHv7dpv8Oy7gjZNGjLUeMuVkvj0=&amp;_app_id=central_doc_viewer&amp;center_on_screen=true&amp;width=950&amp;height=800&amp;_dd2=%26f%3Dsld%26c%3Dtrue%26os%3D258006%26oe%3D258013" TargetMode="External"/><Relationship Id="rId252" Type="http://schemas.openxmlformats.org/officeDocument/2006/relationships/hyperlink" Target="fdsup://factset/Doc%20Viewer%20Single?float_window=true&amp;positioning_strategy=center_on_screen&amp;_doc_docfn=U2FsdGVkX19xklV8IIHaUhngjVEBdPiliAD77DuVMapF4nAdoPadiaD1iOUFO713TBqEptasvWEd8zjwGmEO2E2vYsqdwP6DQEhuTecgOlA=&amp;_app_id=central_doc_viewer&amp;center_on_screen=true&amp;width=950&amp;height=800&amp;_dd2=%26f%3Dsld%26c%3Dtrue%26os%3D263070%26oe%3D263075" TargetMode="External"/><Relationship Id="rId273" Type="http://schemas.openxmlformats.org/officeDocument/2006/relationships/hyperlink" Target="fdsup://factset/Doc%20Viewer%20Single?float_window=true&amp;positioning_strategy=center_on_screen&amp;_doc_docfn=U2FsdGVkX1/V1uBO1q40okiyEqKng1Hpb2KNiPOZUDvgAMlD+COYyxYLIOsI1ZyIgSWexllI/swTWD7+qbetTMjVJ+BNdnbFUENnCmiZPFo=&amp;_app_id=central_doc_viewer&amp;center_on_screen=true&amp;width=950&amp;height=800&amp;_dd2=%26f%3Dsld%26c%3Dtrue%26os%3D182059%26oe%3D182066" TargetMode="External"/><Relationship Id="rId294" Type="http://schemas.openxmlformats.org/officeDocument/2006/relationships/hyperlink" Target="fdsup://factset/Doc%20Viewer%20Single?float_window=true&amp;positioning_strategy=center_on_screen&amp;_doc_docfn=U2FsdGVkX1/AXCSXJlOzJiYdJ9+CEG+li0YjPmc5a22+wzaEbFJIhYSTJNYWWONDEHFjwdlQ2jyCgGeSPsZAuATs2eqgvO3dRMGVFFMRzmc=&amp;_app_id=central_doc_viewer&amp;center_on_screen=true&amp;width=950&amp;height=800&amp;_dd2=%26f%3Dsld%26c%3Dtrue%26os%3D260560%26oe%3D260565" TargetMode="External"/><Relationship Id="rId308" Type="http://schemas.openxmlformats.org/officeDocument/2006/relationships/hyperlink" Target="fdsup://factset/Doc%20Viewer%20Single?float_window=true&amp;positioning_strategy=center_on_screen&amp;_doc_docfn=U2FsdGVkX19/7bPNe/Ly4Bi2N8kJqiQjCCe+UwmX4iR8/S6MDcvMb7vUDF7EG1vH+lF08e1We4f+E09+XvbmOM7JDPy/9K7h3iHzyDtOttc=&amp;_app_id=central_doc_viewer&amp;center_on_screen=true&amp;width=950&amp;height=800&amp;_dd2=%26f%3Dsld%26c%3Dtrue%26os%3D266295%26oe%3D266297" TargetMode="External"/><Relationship Id="rId329" Type="http://schemas.openxmlformats.org/officeDocument/2006/relationships/hyperlink" Target="fdsup://factset/Doc%20Viewer%20Single?float_window=true&amp;positioning_strategy=center_on_screen&amp;_doc_docfn=U2FsdGVkX18ZkJUJq9ivxsKdFHJlIz96kCQPif5JXJxioXrMx3BBz97/7w6F5o9/bg/VZ2zoBUf+anHNrcOdD3laOOp7i6sU0edo5LHyE4k=&amp;_app_id=central_doc_viewer&amp;center_on_screen=true&amp;width=950&amp;height=800&amp;_dd2=%26f%3Dsld%26c%3Dtrue%26os%3D267220%26oe%3D267225" TargetMode="External"/><Relationship Id="rId47" Type="http://schemas.openxmlformats.org/officeDocument/2006/relationships/hyperlink" Target="fdsup://factset/Doc%20Viewer%20Single?float_window=true&amp;positioning_strategy=center_on_screen&amp;_doc_docfn=U2FsdGVkX1+LT45m3uOQKMWoXnhBV3dtxpxAISaIodBRp/KV7QPqSlSrBKkbD9jl2a2TmV1lz64JT9NJOI9tdPcJmmy986GsbvWzzysALI4=&amp;_app_id=central_doc_viewer&amp;center_on_screen=true&amp;width=950&amp;height=800&amp;_dd2=%26f%3Dsld%26c%3Dtrue%26os%3D425698%26oe%3D425702" TargetMode="External"/><Relationship Id="rId68" Type="http://schemas.openxmlformats.org/officeDocument/2006/relationships/hyperlink" Target="fdsup://factset/Doc%20Viewer%20Single?float_window=true&amp;positioning_strategy=center_on_screen&amp;_doc_docfn=U2FsdGVkX1/JgV4a1sYcRxn2AuXMOhr4ZM3oCdiR9mHAUXyLr3GP7zwHQTeq+RjHEQb6HV11SNtQ8kHSNN8IAyYPKuOaMkH6fLhn83kHrJs=&amp;_app_id=central_doc_viewer&amp;center_on_screen=true&amp;width=950&amp;height=800&amp;_dd2=%26f%3Dsld%26c%3Dtrue%26os%3D426821%26oe%3D426826" TargetMode="External"/><Relationship Id="rId89" Type="http://schemas.openxmlformats.org/officeDocument/2006/relationships/hyperlink" Target="fdsup://factset/Doc%20Viewer%20Single?float_window=true&amp;positioning_strategy=center_on_screen&amp;_doc_docfn=U2FsdGVkX18hT+IMUkLHfOGTBDd7EyRbIS1YtLPfzzPgz5Xn8dJWv+9uElm1mrqvvq2NMv4LTCll2EHQdMusy4QitDws07anMHRYpDksfQk=&amp;_app_id=central_doc_viewer&amp;center_on_screen=true&amp;width=950&amp;height=800&amp;_dd2=%26f%3Dsld%26c%3Dtrue%26os%3D263665%26oe%3D263670" TargetMode="External"/><Relationship Id="rId112" Type="http://schemas.openxmlformats.org/officeDocument/2006/relationships/hyperlink" Target="fdsup://factset/Doc%20Viewer%20Single?float_window=true&amp;positioning_strategy=center_on_screen&amp;_doc_docfn=U2FsdGVkX1+1O13172srKqbhSzKsnznDBZfjG9/zkB2YoiSazwg3ZCxPQ/BDCmjs3sPXAWxd3XLFrn4DcLJwiSXd5T3BMQ3i/Mw4qf1zleY=&amp;_app_id=central_doc_viewer&amp;center_on_screen=true&amp;width=950&amp;height=800&amp;_dd2=%26f%3Dsld%26c%3Dtrue%26os%3D250040%26oe%3D250043" TargetMode="External"/><Relationship Id="rId133" Type="http://schemas.openxmlformats.org/officeDocument/2006/relationships/hyperlink" Target="fdsup://factset/Doc%20Viewer%20Single?float_window=true&amp;positioning_strategy=center_on_screen&amp;_doc_docfn=U2FsdGVkX187TG3fMwHEVX9LkOjJVIv91hKaoiiVLTUdqSeVqIISf7w9nJQHTu5zmXMaghFCD17/2iFMkoUun0LlEi8J9neR0XjtKb1XPvs=&amp;_app_id=central_doc_viewer&amp;center_on_screen=true&amp;width=950&amp;height=800&amp;_dd2=%26f%3Dsld%26c%3Dtrue%26os%3D263137%26oe%3D263145" TargetMode="External"/><Relationship Id="rId154" Type="http://schemas.openxmlformats.org/officeDocument/2006/relationships/hyperlink" Target="fdsup://factset/Doc%20Viewer%20Single?float_window=true&amp;positioning_strategy=center_on_screen&amp;_doc_docfn=U2FsdGVkX18E6LrYwNcimyJkG5XIccf4ck1kPrcl8IO7uPtgegk5wNqwXPc4lmHAQFTjvjeH21cvN0PD97OFaOWwN20anP9NZDTqO72825U=&amp;_app_id=central_doc_viewer&amp;center_on_screen=true&amp;width=950&amp;height=800&amp;_dd2=%26f%3Dsld%26c%3Dtrue%26os%3D163255%26oe%3D163260" TargetMode="External"/><Relationship Id="rId175" Type="http://schemas.openxmlformats.org/officeDocument/2006/relationships/hyperlink" Target="fdsup://factset/Doc%20Viewer%20Single?float_window=true&amp;positioning_strategy=center_on_screen&amp;_doc_docfn=U2FsdGVkX1+pGj1n7Caa4tSf35+ZoaUU9Ns6m2GybMkLOZyYKIIIqsAUHJPbynX0lTVZE+u+2aBo6n99MbvFOjexV6wzMmSWwDTc7PYZuXU=&amp;_app_id=central_doc_viewer&amp;center_on_screen=true&amp;width=950&amp;height=800&amp;_dd2=%26f%3Dsld%26c%3Dtrue%26os%3D267926%26oe%3D267931" TargetMode="External"/><Relationship Id="rId340" Type="http://schemas.openxmlformats.org/officeDocument/2006/relationships/hyperlink" Target="fdsup://factset/Doc%20Viewer%20Single?float_window=true&amp;positioning_strategy=center_on_screen&amp;_doc_docfn=U2FsdGVkX1/ZbiAh8VYNkHtdNlFlzTB7mqnER4kthzDWrZhiocAMM1gZAWBSxO/rF8Nv2cHJht0k75u05TR9Bx1M13svmW86I9plSu9a+nE=&amp;_app_id=central_doc_viewer&amp;center_on_screen=true&amp;width=950&amp;height=800&amp;_dd2=%26f%3Dsld%26c%3Dtrue%26os%3D1283144%26oe%3D1283150" TargetMode="External"/><Relationship Id="rId361" Type="http://schemas.openxmlformats.org/officeDocument/2006/relationships/hyperlink" Target="fdsup://factset/Doc%20Viewer%20Single?float_window=true&amp;positioning_strategy=center_on_screen&amp;_doc_docfn=U2FsdGVkX1/h2geeansBWdR5ek9r6fqyEcvsz3wJSyw/9LjZH/6sQJw/a+f+X10kheZmlPODn7BtWI5KwEb3ZqwkZ1Zu+H9eyYRp+lbgkmw=&amp;_app_id=central_doc_viewer&amp;center_on_screen=true&amp;width=950&amp;height=800&amp;_dd2=%26f%3Dsld%26c%3Dtrue%26os%3D181270%26oe%3D181275" TargetMode="External"/><Relationship Id="rId196" Type="http://schemas.openxmlformats.org/officeDocument/2006/relationships/hyperlink" Target="fdsup://factset/Doc%20Viewer%20Single?float_window=true&amp;positioning_strategy=center_on_screen&amp;_doc_docfn=U2FsdGVkX1+RJiZwByROlMtkj6TX+j6YnQbeTDJEK1GA73qHEc/+89yp7B+xE+WxkrX8oTBH4QsximcZCg3FwQUbjho12kHGTeTn1YZEu7o=&amp;_app_id=central_doc_viewer&amp;center_on_screen=true&amp;width=950&amp;height=800&amp;_dd2=%26f%3Dsld%26c%3Dtrue%26os%3D173660%26oe%3D173667" TargetMode="External"/><Relationship Id="rId200" Type="http://schemas.openxmlformats.org/officeDocument/2006/relationships/hyperlink" Target="fdsup://factset/Doc%20Viewer%20Single?float_window=true&amp;positioning_strategy=center_on_screen&amp;_doc_docfn=U2FsdGVkX18ZLYyaRwx5hEL1AZru8MQg22LXfbHFdg7JpIvQF5fc3xy1CdunZAOlovGfFhcJf9iHT2UT2yglBU2b/hWojwU+JP6OPA1rhl0=&amp;_app_id=central_doc_viewer&amp;center_on_screen=true&amp;width=950&amp;height=800&amp;_dd2=%26f%3Dsld%26c%3Dtrue%26os%3D270332%26oe%3D270339" TargetMode="External"/><Relationship Id="rId16" Type="http://schemas.openxmlformats.org/officeDocument/2006/relationships/hyperlink" Target="fdsup://factset/Doc%20Viewer%20Single?float_window=true&amp;positioning_strategy=center_on_screen&amp;_doc_docfn=U2FsdGVkX18UjQ8Uj/wwW8raEPiM5+3gWku7cyBp7dHD0jl8PvLzQh5w1OQwV1qzxU9yzQpji1NHMPEFKxb7SU3y2zkHLEFN54cbit9zW8E=&amp;_app_id=central_doc_viewer&amp;center_on_screen=true&amp;width=950&amp;height=800&amp;_dd2=%26f%3Dsld%26c%3Dtrue%26os%3D422539%26oe%3D422545" TargetMode="External"/><Relationship Id="rId221" Type="http://schemas.openxmlformats.org/officeDocument/2006/relationships/hyperlink" Target="fdsup://factset/Doc%20Viewer%20Single?float_window=true&amp;positioning_strategy=center_on_screen&amp;_doc_docfn=U2FsdGVkX1/yRSPbzPZBfjdyfYNynzno/SyzB9efUzteW5NTjOBbR6xSgUsEwTevWc3oWDC2rTT/wgs9y7JTrfcVipNcxFZ4wxguaKXfSV4=&amp;_app_id=central_doc_viewer&amp;center_on_screen=true&amp;width=950&amp;height=800&amp;_dd2=%26f%3Dsld%26c%3Dtrue%26os%3D257261%26oe%3D257268" TargetMode="External"/><Relationship Id="rId242" Type="http://schemas.openxmlformats.org/officeDocument/2006/relationships/hyperlink" Target="fdsup://factset/Doc%20Viewer%20Single?float_window=true&amp;positioning_strategy=center_on_screen&amp;_doc_docfn=U2FsdGVkX18oo8X1ka7KnNaS/1x5M/Z52B8HafmmwZsIjD1+yeIZuCFZweIqR9LAzh+i9NwLMq5+a+1bMrcYXDnWUTEStwIMwGT+IYpM5ck=&amp;_app_id=central_doc_viewer&amp;center_on_screen=true&amp;width=950&amp;height=800&amp;_dd2=%26f%3Dsld%26c%3Dtrue%26os%3D260047%26oe%3D260052" TargetMode="External"/><Relationship Id="rId263" Type="http://schemas.openxmlformats.org/officeDocument/2006/relationships/hyperlink" Target="fdsup://factset/Doc%20Viewer%20Single?float_window=true&amp;positioning_strategy=center_on_screen&amp;_doc_docfn=U2FsdGVkX1+FW1r/H4QRsorB//HRo1PXy1wOsFTWqy8NklWEVomAJ/tWkQnkPkWerKC4sQShcGCLBSSFcb6kxU3rhl2e6pA7thdPrp0MbLA=&amp;_app_id=central_doc_viewer&amp;center_on_screen=true&amp;width=950&amp;height=800&amp;_dd2=%26f%3Dsld%26c%3Dtrue%26os%3D262562%26oe%3D262567" TargetMode="External"/><Relationship Id="rId284" Type="http://schemas.openxmlformats.org/officeDocument/2006/relationships/hyperlink" Target="fdsup://factset/Doc%20Viewer%20Single?float_window=true&amp;positioning_strategy=center_on_screen&amp;_doc_docfn=U2FsdGVkX1+MYNU78SH2smxHaFS7P3C5Bs9iwY5LO3UqNGKJi72S32Zxp2cjGpJlOI7RL+xsJrM6GZMnkdS2c+i1sBPxS/JmWSTgaQiiA5M=&amp;_app_id=central_doc_viewer&amp;center_on_screen=true&amp;width=950&amp;height=800&amp;_dd2=%26f%3Dsld%26c%3Dtrue%26os%3D259787%26oe%3D259790" TargetMode="External"/><Relationship Id="rId319" Type="http://schemas.openxmlformats.org/officeDocument/2006/relationships/hyperlink" Target="fdsup://factset/Doc%20Viewer%20Single?float_window=true&amp;positioning_strategy=center_on_screen&amp;_doc_docfn=U2FsdGVkX18vNfH2H70EpZnkaAOUM4DDIyuLg1hIfk5n+VRPysug8/cwt3Pp4/3gRJ4afTN5UjiH/XcGnaMZHZK1i7qxDIi4QLXje3H/FZU=&amp;_app_id=central_doc_viewer&amp;center_on_screen=true&amp;width=950&amp;height=800&amp;_dd2=%26f%3Dsld%26c%3Dtrue%26os%3D280112%26oe%3D280115" TargetMode="External"/><Relationship Id="rId37" Type="http://schemas.openxmlformats.org/officeDocument/2006/relationships/hyperlink" Target="fdsup://factset/Doc%20Viewer%20Single?float_window=true&amp;positioning_strategy=center_on_screen&amp;_doc_docfn=U2FsdGVkX18BkGKSpw2x8xZluFU+jx44OTHs7RUAw3E4DpJ1eth/e8tp9uNDXPO8oTUEh+8XXpunGsGLhBK5uH+F0QSedwpklj/vKeAw28U=&amp;_app_id=central_doc_viewer&amp;center_on_screen=true&amp;width=950&amp;height=800&amp;_dd2=%26f%3Dsld%26c%3Dtrue%26os%3D259614%26oe%3D259617" TargetMode="External"/><Relationship Id="rId58" Type="http://schemas.openxmlformats.org/officeDocument/2006/relationships/hyperlink" Target="fdsup://factset/Doc%20Viewer%20Single?float_window=true&amp;positioning_strategy=center_on_screen&amp;_doc_docfn=U2FsdGVkX1/JyUxOgFJt1YExUs1cK2NrkqBSrRxde6pNW3PcLXOEPC9clQUdJfbOjkdbBUIp2Xzy1IfkZlx7JHM+AZM83Z2zbgEz8d4u+Pw=&amp;_app_id=central_doc_viewer&amp;center_on_screen=true&amp;width=950&amp;height=800&amp;_dd2=%26f%3Dsld%26c%3Dtrue%26os%3D260333%26oe%3D260336" TargetMode="External"/><Relationship Id="rId79" Type="http://schemas.openxmlformats.org/officeDocument/2006/relationships/hyperlink" Target="fdsup://factset/Doc%20Viewer%20Single?float_window=true&amp;positioning_strategy=center_on_screen&amp;_doc_docfn=U2FsdGVkX19+YPIF3QRQlYusjTPXRLNqFAaZ1XUTHgNizJuvQZUFs1TWVBu/taBlXGq6L05uyrEsRmN48P5JvEj1ErE3EtcnQjcyM7lzIKg=&amp;_app_id=central_doc_viewer&amp;center_on_screen=true&amp;width=950&amp;height=800&amp;_dd2=%26f%3Dsld%26c%3Dtrue%26os%3D262892%26oe%3D262899" TargetMode="External"/><Relationship Id="rId102" Type="http://schemas.openxmlformats.org/officeDocument/2006/relationships/hyperlink" Target="fdsup://factset/Doc%20Viewer%20Single?float_window=true&amp;positioning_strategy=center_on_screen&amp;_doc_docfn=U2FsdGVkX18a5OISybewhlcb+Wq1ePvvhFPKtdFbDArYiBchuI7p5qXpRlEPdCVtuZBxbqEzlWOzp5eGJuhPDTmYEKTdTs19bY8Nyf0A+rk=&amp;_app_id=central_doc_viewer&amp;center_on_screen=true&amp;width=950&amp;height=800&amp;_dd2=%26f%3Dsld%26c%3Dtrue%26os%3D158813%26oe%3D158816" TargetMode="External"/><Relationship Id="rId123" Type="http://schemas.openxmlformats.org/officeDocument/2006/relationships/hyperlink" Target="fdsup://factset/Doc%20Viewer%20Single?float_window=true&amp;positioning_strategy=center_on_screen&amp;_doc_docfn=U2FsdGVkX18DYpk8cUA1osOntGhpvDBdcVv828mUrW6qD4mYMdP+DGFM+j15FqPbDgrMQeONVAS3OhVe07F+NqxSujFPvKt/5ZhYEU1/yhU=&amp;_app_id=central_doc_viewer&amp;center_on_screen=true&amp;width=950&amp;height=800&amp;_dd2=%26f%3Dsld%26c%3Dtrue%26os%3D270244%26oe%3D270252" TargetMode="External"/><Relationship Id="rId144" Type="http://schemas.openxmlformats.org/officeDocument/2006/relationships/hyperlink" Target="fdsup://factset/Doc%20Viewer%20Single?float_window=true&amp;positioning_strategy=center_on_screen&amp;_doc_docfn=U2FsdGVkX18Tyuk4EWeownvTxAymvo/grqiQoUkuIoDFDHkRbDhzjFd5SA6qWLkB4+bj6qDXA3twyUvW78Cv4/RZiQ9KPlIESizwVivZF+s=&amp;_app_id=central_doc_viewer&amp;center_on_screen=true&amp;width=950&amp;height=800&amp;_dd2=%26f%3Dsld%26c%3Dtrue%26os%3D164115%26oe%3D164120" TargetMode="External"/><Relationship Id="rId330" Type="http://schemas.openxmlformats.org/officeDocument/2006/relationships/hyperlink" Target="fdsup://factset/Doc%20Viewer%20Single?float_window=true&amp;positioning_strategy=center_on_screen&amp;_doc_docfn=U2FsdGVkX19C7Guru3qsd1Wc4UhzjrunF6Ja0cdihbtGFoOXmqsevgevqMl+89CKDiQyFymk8nR9/j6OFmSDW+ChoFObdhuOSzxUybj/urM=&amp;_app_id=central_doc_viewer&amp;center_on_screen=true&amp;width=950&amp;height=800&amp;_dd2=%26f%3Dsld%26c%3Dtrue%26os%3D281926%26oe%3D281931" TargetMode="External"/><Relationship Id="rId90" Type="http://schemas.openxmlformats.org/officeDocument/2006/relationships/hyperlink" Target="fdsup://factset/Doc%20Viewer%20Single?float_window=true&amp;positioning_strategy=center_on_screen&amp;_doc_docfn=U2FsdGVkX19BSWo4bLRhfh+tjrwVHfaM77xNN47hyFbkYTIW+TszadkWLlZ0EUZUGiiiJFyhcaqBhwl2hY4fto5iFJPVDAXlJlEOb2CEXTg=&amp;_app_id=central_doc_viewer&amp;center_on_screen=true&amp;width=950&amp;height=800&amp;_dd2=%26f%3Dsld%26c%3Dtrue%26os%3D247172%26oe%3D247177" TargetMode="External"/><Relationship Id="rId165" Type="http://schemas.openxmlformats.org/officeDocument/2006/relationships/hyperlink" Target="fdsup://factset/Doc%20Viewer%20Single?float_window=true&amp;positioning_strategy=center_on_screen&amp;_doc_docfn=U2FsdGVkX1+Yp58R/sk+GN7bJPytxmwSDwxT3PqjXKQUkP9XiB5INYXQZNM7rYP/Lw1gofTTyVKVWejXc/TPo+bb8WMIjqTEqVndcsI4V24=&amp;_app_id=central_doc_viewer&amp;center_on_screen=true&amp;width=950&amp;height=800&amp;_dd2=%26f%3Dsld%26c%3Dtrue%26os%3D168501%26oe%3D168508" TargetMode="External"/><Relationship Id="rId186" Type="http://schemas.openxmlformats.org/officeDocument/2006/relationships/hyperlink" Target="fdsup://factset/Doc%20Viewer%20Single?float_window=true&amp;positioning_strategy=center_on_screen&amp;_doc_docfn=U2FsdGVkX1+Me1tQFsrxQTdeeAuvxESTlUuNoTOuo/X/71Ai2UpKXQVvrLJEtvsP79szqYdGBjcpxlaDb5MPt9a979dkBuQ+xff+4/BLSNI=&amp;_app_id=central_doc_viewer&amp;center_on_screen=true&amp;width=950&amp;height=800&amp;_dd2=%26f%3Dsld%26c%3Dtrue%26os%3D166716%26oe%3D166721" TargetMode="External"/><Relationship Id="rId351" Type="http://schemas.openxmlformats.org/officeDocument/2006/relationships/hyperlink" Target="fdsup://factset/Doc%20Viewer%20Single?float_window=true&amp;positioning_strategy=center_on_screen&amp;_doc_docfn=U2FsdGVkX1/71eEvBCZB8wAuInVLcOGKCb/u46u3vaG3jMvdpiXR42bQe4t4SwhJ0aBRivQcyfmml4N1er20YqROQ8u1ZHJ1eaUSbMgZZ+g=&amp;_app_id=central_doc_viewer&amp;center_on_screen=true&amp;width=950&amp;height=800&amp;_dd2=%26f%3Dsld%26c%3Dtrue%26os%3D180530%26oe%3D180533" TargetMode="External"/><Relationship Id="rId372" Type="http://schemas.openxmlformats.org/officeDocument/2006/relationships/hyperlink" Target="fdsup://factset/Doc%20Viewer%20Single?float_window=true&amp;positioning_strategy=center_on_screen&amp;_doc_docfn=U2FsdGVkX1//IKT/k6qUj7QrSUzU32gJhtlRUpu8yQos4jlnPsvcjXwiGTRSpboyoVTUm7wcHZkyH2lUYirBZReDsemdjCLK/VQglZWFT2w=&amp;_app_id=central_doc_viewer&amp;center_on_screen=true&amp;width=950&amp;height=800&amp;_dd2=%26f%3Dsld%26c%3Dtrue%26os%3D192493%26oe%3D192494" TargetMode="External"/><Relationship Id="rId211" Type="http://schemas.openxmlformats.org/officeDocument/2006/relationships/hyperlink" Target="fdsup://factset/Doc%20Viewer%20Single?float_window=true&amp;positioning_strategy=center_on_screen&amp;_doc_docfn=U2FsdGVkX19YW77iz5E8OlMJv6dg0HwjaJ4OHYV9O39abh7xhbxmfW2gPuli9Yj9+QqBPkGYmg4ZG5+Gyun956uzMxNujQ+1WbOeqz9lc7E=&amp;_app_id=central_doc_viewer&amp;center_on_screen=true&amp;width=950&amp;height=800&amp;_dd2=%26f%3Dsld%26c%3Dtrue%26os%3D264146%26oe%3D264151" TargetMode="External"/><Relationship Id="rId232" Type="http://schemas.openxmlformats.org/officeDocument/2006/relationships/hyperlink" Target="fdsup://factset/Doc%20Viewer%20Single?float_window=true&amp;positioning_strategy=center_on_screen&amp;_doc_docfn=U2FsdGVkX1/+J8v7FcSCB8gMe61FC911TuOkTm4Qt/5uWadvNDukJEfQ/lJX5/ELSx0/tSG13SYGkyWt7o8veLZlboFAgohjOj1y/tCRuY0=&amp;_app_id=central_doc_viewer&amp;center_on_screen=true&amp;width=950&amp;height=800&amp;_dd2=%26f%3Dsld%26c%3Dtrue%26os%3D259290%26oe%3D259297" TargetMode="External"/><Relationship Id="rId253" Type="http://schemas.openxmlformats.org/officeDocument/2006/relationships/hyperlink" Target="fdsup://factset/Doc%20Viewer%20Single?float_window=true&amp;positioning_strategy=center_on_screen&amp;_doc_docfn=U2FsdGVkX18KqVPxLf7ufpIF2aZ7V2K4YD46g1aU/KDtsEYoravF9cUmRDpo0kGV2m47ZE4QtmnENd40TNDpUIOdu6ejUFc5/YXpspc0QAc=&amp;_app_id=central_doc_viewer&amp;center_on_screen=true&amp;width=950&amp;height=800&amp;_dd2=%26f%3Dsld%26c%3Dtrue%26os%3D275867%26oe%3D275874" TargetMode="External"/><Relationship Id="rId274" Type="http://schemas.openxmlformats.org/officeDocument/2006/relationships/hyperlink" Target="fdsup://factset/Doc%20Viewer%20Single?float_window=true&amp;positioning_strategy=center_on_screen&amp;_doc_docfn=U2FsdGVkX18rxGZPFSxmZQR4cBoFJzEIyd6VnZCsJa/qpaDboUz4LTU1TpVtXGVQAIsZOUDw2O7hr5sBt5Gz6DuUgPWnn5Xry+y5uvRRSZI=&amp;_app_id=central_doc_viewer&amp;center_on_screen=true&amp;width=950&amp;height=800&amp;_dd2=%26f%3Dsld%26c%3Dtrue%26os%3D259022%26oe%3D259029" TargetMode="External"/><Relationship Id="rId295" Type="http://schemas.openxmlformats.org/officeDocument/2006/relationships/hyperlink" Target="fdsup://factset/Doc%20Viewer%20Single?float_window=true&amp;positioning_strategy=center_on_screen&amp;_doc_docfn=U2FsdGVkX1+naijOTVRlhWRaNVjbpnekklzlKNbvsM5m7SVCmluSjS+SU9f3bPu4I7tdnFWluqXgqinNDPIHpkzq0lMS6OivdroZtR0IDNw=&amp;_app_id=central_doc_viewer&amp;center_on_screen=true&amp;width=950&amp;height=800&amp;_dd2=%26f%3Dsld%26c%3Dtrue%26os%3D441421%26oe%3D441426" TargetMode="External"/><Relationship Id="rId309" Type="http://schemas.openxmlformats.org/officeDocument/2006/relationships/hyperlink" Target="fdsup://factset/Doc%20Viewer%20Single?float_window=true&amp;positioning_strategy=center_on_screen&amp;_doc_docfn=U2FsdGVkX1+f+Pd998ylzvNf24Ngc07zT/qsRTXPxwJpVPSerK6qfBxwcUIxd2TdoTVodQRkylN4a2wq+59ltuFaJta5zl0Iw52mjBbC7vI=&amp;_app_id=central_doc_viewer&amp;center_on_screen=true&amp;width=950&amp;height=800&amp;_dd2=%26f%3Dsld%26c%3Dtrue%26os%3D279096%26oe%3D279100" TargetMode="External"/><Relationship Id="rId27" Type="http://schemas.openxmlformats.org/officeDocument/2006/relationships/hyperlink" Target="fdsup://factset/Doc%20Viewer%20Single?float_window=true&amp;positioning_strategy=center_on_screen&amp;_doc_docfn=U2FsdGVkX1/s9Irgg9eQ0Jd1J5SrOVktWKL9MposkP2J33IcgrrHxPMRsgmGKa/2pTi4AA2vF0t6bZuMTOKiBfvC6oBQil4Pf+jNrq2aT/Y=&amp;_app_id=central_doc_viewer&amp;center_on_screen=true&amp;width=950&amp;height=800&amp;_dd2=%26f%3Dsld%26c%3Dtrue%26os%3D258887%26oe%3D258892" TargetMode="External"/><Relationship Id="rId48" Type="http://schemas.openxmlformats.org/officeDocument/2006/relationships/hyperlink" Target="fdsup://factset/Doc%20Viewer%20Single?float_window=true&amp;positioning_strategy=center_on_screen&amp;_doc_docfn=U2FsdGVkX1/czae0N9mO5XiAMZzjAq8eQjGyl3D6Mtdh+kLI/E0DhgvfM5j5323yXxK/ANdoazIp3VV5mG+v04hPfrraVhcvZO+wCzFKDBU=&amp;_app_id=central_doc_viewer&amp;center_on_screen=true&amp;width=950&amp;height=800&amp;_dd2=%26f%3Dsld%26c%3Dtrue%26os%3D261025%26oe%3D261030" TargetMode="External"/><Relationship Id="rId69" Type="http://schemas.openxmlformats.org/officeDocument/2006/relationships/hyperlink" Target="fdsup://factset/Doc%20Viewer%20Single?float_window=true&amp;positioning_strategy=center_on_screen&amp;_doc_docfn=U2FsdGVkX1+kTzfqj3OnQGQWPrpazK9sprtqUDxiH8wZ7N3mJo5VMIcNBsOIk+HBew0En6frMjEzVVo9J9rz3vUmvcGDXL/afewvkThN1Ic=&amp;_app_id=central_doc_viewer&amp;center_on_screen=true&amp;width=950&amp;height=800&amp;_dd2=%26f%3Dsld%26c%3Dtrue%26os%3D262150%26oe%3D262157" TargetMode="External"/><Relationship Id="rId113" Type="http://schemas.openxmlformats.org/officeDocument/2006/relationships/hyperlink" Target="fdsup://factset/Doc%20Viewer%20Single?float_window=true&amp;positioning_strategy=center_on_screen&amp;_doc_docfn=U2FsdGVkX19n8PQR/khk3A8BdWDcUnSVkEd0HhxKwoJBkks3KVqYgpu72LM6CPUX7b8Lf0J5VPOkajqXfY0hz4SsMfdEdA8rUKM/UzXROs4=&amp;_app_id=central_doc_viewer&amp;center_on_screen=true&amp;width=950&amp;height=800&amp;_dd2=%26f%3Dsld%26c%3Dtrue%26os%3D261288%26oe%3D261293" TargetMode="External"/><Relationship Id="rId134" Type="http://schemas.openxmlformats.org/officeDocument/2006/relationships/hyperlink" Target="fdsup://factset/Doc%20Viewer%20Single?float_window=true&amp;positioning_strategy=center_on_screen&amp;_doc_docfn=U2FsdGVkX19wxn3toaDAKLfc/9hixCiLmCD6JHIZP3zNHrUS/Nise7eN3nSpHsLF9djrEn1wEycgzXb2h7VFagUoyjGX45dmsAO4lnHrXEk=&amp;_app_id=central_doc_viewer&amp;center_on_screen=true&amp;width=950&amp;height=800&amp;_dd2=%26f%3Dsld%26c%3Dtrue%26os%3D164115%26oe%3D164120" TargetMode="External"/><Relationship Id="rId320" Type="http://schemas.openxmlformats.org/officeDocument/2006/relationships/hyperlink" Target="fdsup://factset/Doc%20Viewer%20Single?float_window=true&amp;positioning_strategy=center_on_screen&amp;_doc_docfn=U2FsdGVkX1+jD4rqhYMuAXo9VoKxlXwn0neqaNDj8rH3+lmFevnLZT+dku/TrIUiy2ejkQkqJOflldT7WFDBY8H7fX01TD2KB8ka11CPgYY=&amp;_app_id=central_doc_viewer&amp;center_on_screen=true&amp;width=950&amp;height=800&amp;_dd2=%26f%3Dsld%26c%3Dtrue%26os%3D281114%26oe%3D281119" TargetMode="External"/><Relationship Id="rId80" Type="http://schemas.openxmlformats.org/officeDocument/2006/relationships/hyperlink" Target="fdsup://factset/Doc%20Viewer%20Single?float_window=true&amp;positioning_strategy=center_on_screen&amp;_doc_docfn=U2FsdGVkX183cqpsbO6zDqEMUIXlJnOclOFQPAyl9nks2wI81bkKXG54uXHAm3wu705nj5Dmr5vfCDboJHP38x5IZjXVQ3fZyAeHpb9IoCY=&amp;_app_id=central_doc_viewer&amp;center_on_screen=true&amp;width=950&amp;height=800&amp;_dd2=%26f%3Dsld%26c%3Dtrue%26os%3D246399%26oe%3D246406" TargetMode="External"/><Relationship Id="rId155" Type="http://schemas.openxmlformats.org/officeDocument/2006/relationships/hyperlink" Target="fdsup://factset/Doc%20Viewer%20Single?float_window=true&amp;positioning_strategy=center_on_screen&amp;_doc_docfn=U2FsdGVkX19/uxE8U4ZDEaOUJZgFSEKwAuom2V9FzFe4v7IJiPCA8+HsR8+jZmL4eomSNBPHppR2IlLKI1gMhrjnV+AA4v1Y9oOA9DG1ySs=&amp;_app_id=central_doc_viewer&amp;center_on_screen=true&amp;width=950&amp;height=800&amp;_dd2=%26f%3Dsld%26c%3Dtrue%26os%3D166734%26oe%3D166739" TargetMode="External"/><Relationship Id="rId176" Type="http://schemas.openxmlformats.org/officeDocument/2006/relationships/hyperlink" Target="fdsup://factset/Doc%20Viewer%20Single?float_window=true&amp;positioning_strategy=center_on_screen&amp;_doc_docfn=U2FsdGVkX18HxbFljV0ZT7GgXSF3h+vTPOG9kPCWqbiPWZvfycamwGtuLL/+RovOYpMqSFNLEiFGoRYI+NtEnixXtPlJrpx4EJVvB4eoUyI=&amp;_app_id=central_doc_viewer&amp;center_on_screen=true&amp;width=950&amp;height=800&amp;_dd2=%26f%3Dsld%26c%3Dtrue%26os%3D166716%26oe%3D166721" TargetMode="External"/><Relationship Id="rId197" Type="http://schemas.openxmlformats.org/officeDocument/2006/relationships/hyperlink" Target="fdsup://factset/Doc%20Viewer%20Single?float_window=true&amp;positioning_strategy=center_on_screen&amp;_doc_docfn=U2FsdGVkX18vdZDSGc2ZdQ8BECA2Bj8QJw0SBNDXltX1UWyM9JOHQDlut+5AA/7+kT5tj0f+xj21SN642buqq4BHbCpRDCJn+ZI54Bw7zn4=&amp;_app_id=central_doc_viewer&amp;center_on_screen=true&amp;width=950&amp;height=800&amp;_dd2=%26f%3Dsld%26c%3Dtrue%26os%3D176793%26oe%3D176800" TargetMode="External"/><Relationship Id="rId341" Type="http://schemas.openxmlformats.org/officeDocument/2006/relationships/hyperlink" Target="fdsup://factset/Doc%20Viewer%20Single?float_window=true&amp;positioning_strategy=center_on_screen&amp;_doc_docfn=U2FsdGVkX1/TkrtL/KPANZ1xzRi7yl7F42ecQEmpP6uwpNmWm7tbJnYTyWOOB17+b1oQeok6md35YfFTNxQScT8MDygeuQaP14qp1+nYS50=&amp;_app_id=central_doc_viewer&amp;center_on_screen=true&amp;width=950&amp;height=800&amp;_dd2=%26f%3Dsld%26c%3Dtrue%26os%3D179428%26oe%3D179434" TargetMode="External"/><Relationship Id="rId362" Type="http://schemas.openxmlformats.org/officeDocument/2006/relationships/hyperlink" Target="fdsup://factset/Doc%20Viewer%20Single?float_window=true&amp;positioning_strategy=center_on_screen&amp;_doc_docfn=U2FsdGVkX19E5WGQzO78qahNuDe51oKwBsXuhUDojoJK2Mma2dXuTCktYOY0mze+fN6VpoDjkZDjXfp1ZcAAEcIgwXt2p2DaRpbHGFd55Ms=&amp;_app_id=central_doc_viewer&amp;center_on_screen=true&amp;width=950&amp;height=800&amp;_dd2=%26f%3Dsld%26c%3Dtrue%26os%3D184756%26oe%3D184761" TargetMode="External"/><Relationship Id="rId201" Type="http://schemas.openxmlformats.org/officeDocument/2006/relationships/hyperlink" Target="fdsup://factset/Doc%20Viewer%20Single?float_window=true&amp;positioning_strategy=center_on_screen&amp;_doc_docfn=U2FsdGVkX1+NWIxtwBQU278z68cYnTAnkqDTJklh7DRG8QBV3EDimNfZPn+jXWw4kEWuBdwTGn9rrQch962c6x/RVg67zrQ77Bu0LzLLc9g=&amp;_app_id=central_doc_viewer&amp;center_on_screen=true&amp;width=950&amp;height=800&amp;_dd2=%26f%3Dsld%26c%3Dtrue%26os%3D253844%26oe%3D253851" TargetMode="External"/><Relationship Id="rId222" Type="http://schemas.openxmlformats.org/officeDocument/2006/relationships/hyperlink" Target="fdsup://factset/Doc%20Viewer%20Single?float_window=true&amp;positioning_strategy=center_on_screen&amp;_doc_docfn=U2FsdGVkX19JmrRP+ET/R1bVjN6KnHOZb0JAzly/Q/lxiuWuR0YX1ZJq9MoR504FNcBdTGVik4kWZS9RuSaDtK6DvSQEXK35Y9Tryntq2V4=&amp;_app_id=central_doc_viewer&amp;center_on_screen=true&amp;width=950&amp;height=800&amp;_dd2=%26f%3Dsld%26c%3Dtrue%26os%3D258545%26oe%3D258552" TargetMode="External"/><Relationship Id="rId243" Type="http://schemas.openxmlformats.org/officeDocument/2006/relationships/hyperlink" Target="fdsup://factset/Doc%20Viewer%20Single?float_window=true&amp;positioning_strategy=center_on_screen&amp;_doc_docfn=U2FsdGVkX193NKu6mlKzLxhbnAdfD8Jn+n6Gz2Nuucp27lWI2og2mx1oqnl17p2LOVxFn6hV+OlJbP+X4wiT8UMKQ8/e+UA/077H+u8umaQ=&amp;_app_id=central_doc_viewer&amp;center_on_screen=true&amp;width=950&amp;height=800&amp;_dd2=%26f%3Dsld%26c%3Dtrue%26os%3D272844%26oe%3D272849" TargetMode="External"/><Relationship Id="rId264" Type="http://schemas.openxmlformats.org/officeDocument/2006/relationships/hyperlink" Target="fdsup://factset/Doc%20Viewer%20Single?float_window=true&amp;positioning_strategy=center_on_screen&amp;_doc_docfn=U2FsdGVkX1+ehF0rDPrimRa8qyFoEg501SZCppx9zaCdOqeFLvevgiToczLFOs0xSqQDwDOcwGmbv3oUpiAw+yRxW2bAtaTLynjIC7o6ZjA=&amp;_app_id=central_doc_viewer&amp;center_on_screen=true&amp;width=950&amp;height=800&amp;_dd2=%26f%3Dsld%26c%3Dtrue%26os%3D263843%26oe%3D263848" TargetMode="External"/><Relationship Id="rId285" Type="http://schemas.openxmlformats.org/officeDocument/2006/relationships/hyperlink" Target="fdsup://factset/Doc%20Viewer%20Single?float_window=true&amp;positioning_strategy=center_on_screen&amp;_doc_docfn=U2FsdGVkX18/ZJBM7ghtyjBSZbjXGQ6ASrlXMjGVW2JcYDfZer4Is5JuUe6UnR1YSXkLtHnlriir8kP8mbmkyKhvDRAJWA6t/AM852vq5Oo=&amp;_app_id=central_doc_viewer&amp;center_on_screen=true&amp;width=950&amp;height=800&amp;_dd2=%26f%3Dsld%26c%3Dtrue%26os%3D440653%26oe%3D440656" TargetMode="External"/><Relationship Id="rId17" Type="http://schemas.openxmlformats.org/officeDocument/2006/relationships/hyperlink" Target="fdsup://factset/Doc%20Viewer%20Single?float_window=true&amp;positioning_strategy=center_on_screen&amp;_doc_docfn=U2FsdGVkX1/nLR6953SMQLlxG9/0cKc3fXeCZ7QCj8sJMDFYvFnuWgm5bP8ztRuXUG6CByPPdRqjiwLKdbzOqkv3KsU4ba1s1ESxK+4/7gQ=&amp;_app_id=central_doc_viewer&amp;center_on_screen=true&amp;width=950&amp;height=800&amp;_dd2=%26f%3Dsld%26c%3Dtrue%26os%3D257863%26oe%3D257869" TargetMode="External"/><Relationship Id="rId38" Type="http://schemas.openxmlformats.org/officeDocument/2006/relationships/hyperlink" Target="fdsup://factset/Doc%20Viewer%20Single?float_window=true&amp;positioning_strategy=center_on_screen&amp;_doc_docfn=U2FsdGVkX1/NrZYgDT50hmNH+yW/ArlswTlEm6XQnJU4dizq7nFZsRp9MFgnFp8FYGHfF+4DWcX7Uq7S2ixBhKIFK8iY8l3efiwH9XYaLJo=&amp;_app_id=central_doc_viewer&amp;center_on_screen=true&amp;width=950&amp;height=800&amp;_dd2=%26f%3Dsld%26c%3Dtrue%26os%3D243114%26oe%3D243119" TargetMode="External"/><Relationship Id="rId59" Type="http://schemas.openxmlformats.org/officeDocument/2006/relationships/hyperlink" Target="fdsup://factset/Doc%20Viewer%20Single?float_window=true&amp;positioning_strategy=center_on_screen&amp;_doc_docfn=U2FsdGVkX1/eKxGdFkHINIfpN1i8htezR9X8e/NI5It6e9LwnCd9mlqKM2teraXfHrEGCB1RqhcvU4eA5yxHi7PHqCTMRTOCxWE5KpheXl4=&amp;_app_id=central_doc_viewer&amp;center_on_screen=true&amp;width=950&amp;height=800&amp;_dd2=%26f%3Dsld%26c%3Dtrue%26os%3D243835%26oe%3D243838" TargetMode="External"/><Relationship Id="rId103" Type="http://schemas.openxmlformats.org/officeDocument/2006/relationships/hyperlink" Target="fdsup://factset/Doc%20Viewer%20Single?float_window=true&amp;positioning_strategy=center_on_screen&amp;_doc_docfn=U2FsdGVkX1+lgZZBhMsVLNgUiz08r1kva/mOG7fylVTt4VKqQNSv4e/f+sa0GNW/gkr2v0Kxn4VSnmNFBLcINFYSAz6ZpXbsTIl7btOfGV0=&amp;_app_id=central_doc_viewer&amp;center_on_screen=true&amp;width=950&amp;height=800&amp;_dd2=%26f%3Dsld%26c%3Dtrue%26os%3D159657%26oe%3D159660" TargetMode="External"/><Relationship Id="rId124" Type="http://schemas.openxmlformats.org/officeDocument/2006/relationships/hyperlink" Target="fdsup://factset/Doc%20Viewer%20Single?float_window=true&amp;positioning_strategy=center_on_screen&amp;_doc_docfn=U2FsdGVkX19YZgceG4TS7ynwWiKGkYDE0jZvJrdKFMVWe0B2p6SzTGFaly/HPbKrhPKVVq/b+WKDHyklA++/IK0I1LMh+ZJEM9OdrAPFUhs=&amp;_app_id=central_doc_viewer&amp;center_on_screen=true&amp;width=950&amp;height=800&amp;_dd2=%26f%3Dsld%26c%3Dtrue%26os%3D162449%26oe%3D162456" TargetMode="External"/><Relationship Id="rId310" Type="http://schemas.openxmlformats.org/officeDocument/2006/relationships/hyperlink" Target="fdsup://factset/Doc%20Viewer%20Single?float_window=true&amp;positioning_strategy=center_on_screen&amp;_doc_docfn=U2FsdGVkX1+YlVcll4eUsCtbXedFmTi9AlMfN6K/6aHQSzfqmXvh7+4Sv4+y4JBe5uizqPI0IImeeOKIXEJmiNpnlpBgZrwOV3P081wkt4k=&amp;_app_id=central_doc_viewer&amp;center_on_screen=true&amp;width=950&amp;height=800&amp;_dd2=%26f%3Dsld%26c%3Dtrue%26os%3D177874%26oe%3D177879" TargetMode="External"/><Relationship Id="rId70" Type="http://schemas.openxmlformats.org/officeDocument/2006/relationships/hyperlink" Target="fdsup://factset/Doc%20Viewer%20Single?float_window=true&amp;positioning_strategy=center_on_screen&amp;_doc_docfn=U2FsdGVkX18/NIE+0vp0A/pZrZV2JYblUzZTBu8B4ICKpxWMwQApOOV36ahA0zxHVIY8ZRklPv6Mq0nHibZwTDmOB6KbPYx0KOr2FQfbpb8=&amp;_app_id=central_doc_viewer&amp;center_on_screen=true&amp;width=950&amp;height=800&amp;_dd2=%26f%3Dsld%26c%3Dtrue%26os%3D245652%26oe%3D245659" TargetMode="External"/><Relationship Id="rId91" Type="http://schemas.openxmlformats.org/officeDocument/2006/relationships/hyperlink" Target="fdsup://factset/Doc%20Viewer%20Single?float_window=true&amp;positioning_strategy=center_on_screen&amp;_doc_docfn=U2FsdGVkX197/sQ7sx8l3KvYIczEPCfRgUbR6gILwhy4+oXgn3/WM0zf5PVb5GG7u1Yy1ARXeluggYBHZqTnX+ay/FNbeN2Ii7d2PEh9KMM=&amp;_app_id=central_doc_viewer&amp;center_on_screen=true&amp;width=950&amp;height=800&amp;_dd2=%26f%3Dsld%26c%3Dtrue%26os%3D248451%26oe%3D248456" TargetMode="External"/><Relationship Id="rId145" Type="http://schemas.openxmlformats.org/officeDocument/2006/relationships/hyperlink" Target="fdsup://factset/Doc%20Viewer%20Single?float_window=true&amp;positioning_strategy=center_on_screen&amp;_doc_docfn=U2FsdGVkX193P3rqEYTihqnk+/5asLO6bASniXlp76ayQAua82gPNjw9EzfHu5Dg3Ked+anbiU6oyhXgg7LB3pDItn6nv6qO0OIojqegGvk=&amp;_app_id=central_doc_viewer&amp;center_on_screen=true&amp;width=950&amp;height=800&amp;_dd2=%26f%3Dsld%26c%3Dtrue%26os%3D167594%26oe%3D167599" TargetMode="External"/><Relationship Id="rId166" Type="http://schemas.openxmlformats.org/officeDocument/2006/relationships/hyperlink" Target="fdsup://factset/Doc%20Viewer%20Single?float_window=true&amp;positioning_strategy=center_on_screen&amp;_doc_docfn=U2FsdGVkX19qwRALgQeidZCpLYOoG7d3q89OR8J5tyIkl356e8S0JsQQCp+R1aDB/+hzk+uXsr3xmX/O4xGPNv+XlT6JPUu+HV55S+PU22s=&amp;_app_id=central_doc_viewer&amp;center_on_screen=true&amp;width=950&amp;height=800&amp;_dd2=%26f%3Dsld%26c%3Dtrue%26os%3D172787%26oe%3D172794" TargetMode="External"/><Relationship Id="rId187" Type="http://schemas.openxmlformats.org/officeDocument/2006/relationships/hyperlink" Target="fdsup://factset/Doc%20Viewer%20Single?float_window=true&amp;positioning_strategy=center_on_screen&amp;_doc_docfn=U2FsdGVkX18CPMLQ1sth+qNU3deDlWlEvTW3fQYOzrMLgprl0k/EX6sTTpx4glIotz1slqxfeh9k5oCZRVQpdNR4OJ+BkT+0qoZt5K9NRRA=&amp;_app_id=central_doc_viewer&amp;center_on_screen=true&amp;width=950&amp;height=800&amp;_dd2=%26f%3Dsld%26c%3Dtrue%26os%3D170197%26oe%3D170199" TargetMode="External"/><Relationship Id="rId331" Type="http://schemas.openxmlformats.org/officeDocument/2006/relationships/hyperlink" Target="fdsup://factset/Doc%20Viewer%20Single?float_window=true&amp;positioning_strategy=center_on_screen&amp;_doc_docfn=U2FsdGVkX184AY+zSGsFTMktCDPz0Ndipz9Lu5d6sm9/d7XHmmy9+x8gvjeQDOlFiIq462USOSf9oauBi2rTzPQMYjR/QVwBEACGClAOeBk=&amp;_app_id=central_doc_viewer&amp;center_on_screen=true&amp;width=950&amp;height=800&amp;_dd2=%26f%3Dsld%26c%3Dtrue%26os%3D178691%26oe%3D178696" TargetMode="External"/><Relationship Id="rId352" Type="http://schemas.openxmlformats.org/officeDocument/2006/relationships/hyperlink" Target="fdsup://factset/Doc%20Viewer%20Single?float_window=true&amp;positioning_strategy=center_on_screen&amp;_doc_docfn=U2FsdGVkX1/9tC+vc6Bso4f507JL7SpkF9C39n/GWA+KvoWkV26ntDnN9arEd16TvCALVhiZY0z8TGWP8SZ01ya+3zStvwuKOD4mC8V/sd8=&amp;_app_id=central_doc_viewer&amp;center_on_screen=true&amp;width=950&amp;height=800&amp;_dd2=%26f%3Dsld%26c%3Dtrue%26os%3D184014%26oe%3D184019" TargetMode="External"/><Relationship Id="rId373" Type="http://schemas.openxmlformats.org/officeDocument/2006/relationships/hyperlink" Target="fdsup://factset/Doc%20Viewer%20Single?float_window=true&amp;positioning_strategy=center_on_screen&amp;_doc_docfn=U2FsdGVkX1/kK4vYnpU4iObX2DRpjuWoEIJvs+VmePFeyRQU2hL4mjeS0T0nhwLxLhdvbNTN7bggCppm7Qnul/CHtXyGtlbv5YFMXM+y3Xc=&amp;_app_id=central_doc_viewer&amp;center_on_screen=true&amp;width=950&amp;height=800&amp;_dd2=%26f%3Dsld%26c%3Dtrue%26os%3D268079%26oe%3D268080" TargetMode="External"/><Relationship Id="rId1" Type="http://schemas.openxmlformats.org/officeDocument/2006/relationships/hyperlink" Target="fdsup://factset/Doc%20Viewer%20Single?float_window=true&amp;positioning_strategy=center_on_screen&amp;_doc_docfn=U2FsdGVkX18LPyUHxst6L9cRJNg4q3h+Ey1uiGsAn09V4q4s/Pw+/7eiigxJ63cMjar41Rby+XtrgN2LIFHCjZBHnjjWYPJDY+kEXBI3Fu0=&amp;_app_id=central_doc_viewer&amp;center_on_screen=true&amp;width=950&amp;height=800&amp;_dd2=%26f%3Dsld%26c%3Dtrue%26os%3D161271%26oe%3D161276" TargetMode="External"/><Relationship Id="rId212" Type="http://schemas.openxmlformats.org/officeDocument/2006/relationships/hyperlink" Target="fdsup://factset/Doc%20Viewer%20Single?float_window=true&amp;positioning_strategy=center_on_screen&amp;_doc_docfn=U2FsdGVkX1/VZ6opCaLuKJz+VTP0sHgg8fGucE0aidU33JCv2aaJdgB9U7gTZVqx9m9p/Qp99ObXOqo1C3JYmoI47IyQWDuN4pIL9We1eGA=&amp;_app_id=central_doc_viewer&amp;center_on_screen=true&amp;width=950&amp;height=800&amp;_dd2=%26f%3Dsld%26c%3Dtrue%26os%3D265443%26oe%3D265451" TargetMode="External"/><Relationship Id="rId233" Type="http://schemas.openxmlformats.org/officeDocument/2006/relationships/hyperlink" Target="fdsup://factset/Doc%20Viewer%20Single?float_window=true&amp;positioning_strategy=center_on_screen&amp;_doc_docfn=U2FsdGVkX18q9osfFcynUVx02kB9KjlZZw+m1sVTt0eqDOaCg8ugWkw3c51c0VkacwZ4iFGoU2N+KjYgJHkG8OqqTcXkutpT3qzl/0QQ8is=&amp;_app_id=central_doc_viewer&amp;center_on_screen=true&amp;width=950&amp;height=800&amp;_dd2=%26f%3Dsld%26c%3Dtrue%26os%3D272087%26oe%3D272094" TargetMode="External"/><Relationship Id="rId254" Type="http://schemas.openxmlformats.org/officeDocument/2006/relationships/hyperlink" Target="fdsup://factset/Doc%20Viewer%20Single?float_window=true&amp;positioning_strategy=center_on_screen&amp;_doc_docfn=U2FsdGVkX1/PhHWj8tBOjHMbXQU8bQBFGT5FrEx/ECLaYo3k4blwH9UegqbIGWT/dYApYQ3yohYdFx5IawQ9WxB0CmamB9B5ABU5Oh9IlTE=&amp;_app_id=central_doc_viewer&amp;center_on_screen=true&amp;width=950&amp;height=800&amp;_dd2=%26f%3Dsld%26c%3Dtrue%26os%3D168809%26oe%3D168814" TargetMode="External"/><Relationship Id="rId28" Type="http://schemas.openxmlformats.org/officeDocument/2006/relationships/hyperlink" Target="fdsup://factset/Doc%20Viewer%20Single?float_window=true&amp;positioning_strategy=center_on_screen&amp;_doc_docfn=U2FsdGVkX1+Fw4WYcMNkmtvhr5HuAltQl1aMekidfbDNRDpaM3ThNLoaUggiVIORSYa12DNVNt/+VaKO0YkucLk4/hZAoftkMkKy67VqgHI=&amp;_app_id=central_doc_viewer&amp;center_on_screen=true&amp;width=950&amp;height=800&amp;_dd2=%26f%3Dsld%26c%3Dtrue%26os%3D242387%26oe%3D242392" TargetMode="External"/><Relationship Id="rId49" Type="http://schemas.openxmlformats.org/officeDocument/2006/relationships/hyperlink" Target="fdsup://factset/Doc%20Viewer%20Single?float_window=true&amp;positioning_strategy=center_on_screen&amp;_doc_docfn=U2FsdGVkX1+yHVejDpB6vFp7Fo/ZLOfW1hH6tNsec91HKrfAGt4e0sVNLGMF5iFTSrci+e64hvhKUIUatPrOhaNyYH7+VfqWCeUY0EH4qaU=&amp;_app_id=central_doc_viewer&amp;center_on_screen=true&amp;width=950&amp;height=800&amp;_dd2=%26f%3Dsld%26c%3Dtrue%26os%3D244527%26oe%3D244532" TargetMode="External"/><Relationship Id="rId114" Type="http://schemas.openxmlformats.org/officeDocument/2006/relationships/hyperlink" Target="fdsup://factset/Doc%20Viewer%20Single?float_window=true&amp;positioning_strategy=center_on_screen&amp;_doc_docfn=U2FsdGVkX191bxCNrbqh1vzHQjmHEoEm/ycxdJBTDds6QB4SB3gw0e6NkInh67QEyJ7/FVxZJ1wUkEwxO5lk0OBKturV0D/iT47Y6Lb1rdw=&amp;_app_id=central_doc_viewer&amp;center_on_screen=true&amp;width=950&amp;height=800&amp;_dd2=%26f%3Dsld%26c%3Dtrue%26os%3D167566%26oe%3D167574" TargetMode="External"/><Relationship Id="rId275" Type="http://schemas.openxmlformats.org/officeDocument/2006/relationships/hyperlink" Target="fdsup://factset/Doc%20Viewer%20Single?float_window=true&amp;positioning_strategy=center_on_screen&amp;_doc_docfn=U2FsdGVkX18Kj18bKlAbVOWUrqq5H6SUZsP9e6yvQAVebTHWEW/Q/58pR+VWEGlQk82Fo9eCy4a2cnpvB4djofe1cEGPZ055lSgL8T8tJoM=&amp;_app_id=central_doc_viewer&amp;center_on_screen=true&amp;width=950&amp;height=800&amp;_dd2=%26f%3Dsld%26c%3Dtrue%26os%3D439883%26oe%3D439890" TargetMode="External"/><Relationship Id="rId296" Type="http://schemas.openxmlformats.org/officeDocument/2006/relationships/hyperlink" Target="fdsup://factset/Doc%20Viewer%20Single?float_window=true&amp;positioning_strategy=center_on_screen&amp;_doc_docfn=U2FsdGVkX1+8HXo20NM2DjtNchjNM7N3Je6vl8psc9rBxhah0C+vBs5eNw7an1SG98ExBL+3IykMknrbM564+I6+pAVzyNjlWOrwp7EIeWs=&amp;_app_id=central_doc_viewer&amp;center_on_screen=true&amp;width=950&amp;height=800&amp;_dd2=%26f%3Dsld%26c%3Dtrue%26os%3D276780%26oe%3D276785" TargetMode="External"/><Relationship Id="rId300" Type="http://schemas.openxmlformats.org/officeDocument/2006/relationships/hyperlink" Target="fdsup://factset/Doc%20Viewer%20Single?float_window=true&amp;positioning_strategy=center_on_screen&amp;_doc_docfn=U2FsdGVkX1+67sT+bLoiNBI4etlKitf6pTUDOCYa0qCp+Jets5gsf+/v9UmXY7q2yuiCwlT82hSTLN037YQf9d9qB2cUAV6ncchEXy6GY20=&amp;_app_id=central_doc_viewer&amp;center_on_screen=true&amp;width=950&amp;height=800&amp;_dd2=%26f%3Dsld%26c%3Dtrue%26os%3D177023%26oe%3D177028" TargetMode="External"/><Relationship Id="rId60" Type="http://schemas.openxmlformats.org/officeDocument/2006/relationships/hyperlink" Target="fdsup://factset/Doc%20Viewer%20Single?float_window=true&amp;positioning_strategy=center_on_screen&amp;_doc_docfn=U2FsdGVkX1+bH6Q9FlHllTTvFDE45gGhFpn0k1mb+seKQ6GFYszX9BjwI3dYxRj9LV4fM73V21GmE8EaFd8fh9iqb/sfa4f2KOh7uEmNwQk=&amp;_app_id=central_doc_viewer&amp;center_on_screen=true&amp;width=950&amp;height=800&amp;_dd2=%26f%3Dsld%26c%3Dtrue%26os%3D245107%26oe%3D245112" TargetMode="External"/><Relationship Id="rId81" Type="http://schemas.openxmlformats.org/officeDocument/2006/relationships/hyperlink" Target="fdsup://factset/Doc%20Viewer%20Single?float_window=true&amp;positioning_strategy=center_on_screen&amp;_doc_docfn=U2FsdGVkX19oCk+1i8y/LgMhW9uJYdQRpX2lMdf8OrFnkklH9gXAVx7rGYHXMVPKhoGPW6bwYUNaSw0mzV7CYr3vDFnPQC4eNCtVVgLR5Ik=&amp;_app_id=central_doc_viewer&amp;center_on_screen=true&amp;width=950&amp;height=800&amp;_dd2=%26f%3Dsld%26c%3Dtrue%26os%3D247678%26oe%3D247685" TargetMode="External"/><Relationship Id="rId135" Type="http://schemas.openxmlformats.org/officeDocument/2006/relationships/hyperlink" Target="fdsup://factset/Doc%20Viewer%20Single?float_window=true&amp;positioning_strategy=center_on_screen&amp;_doc_docfn=U2FsdGVkX18pDFidKYK7BqOILn1XlOwDVqN4El3Q0qpHq6tg6yYKYslRLEgR6mA1DItNi4k2GJEbyvGLMgCI7numyFnA6ulsR7c/3DX4Lw0=&amp;_app_id=central_doc_viewer&amp;center_on_screen=true&amp;width=950&amp;height=800&amp;_dd2=%26f%3Dsld%26c%3Dtrue%26os%3D167594%26oe%3D167599" TargetMode="External"/><Relationship Id="rId156" Type="http://schemas.openxmlformats.org/officeDocument/2006/relationships/hyperlink" Target="fdsup://factset/Doc%20Viewer%20Single?float_window=true&amp;positioning_strategy=center_on_screen&amp;_doc_docfn=U2FsdGVkX1/s0BQZ1ZaLdMXQLu8bordtEQUgZTHJn8lcTDunLCG49CD7SBYwt+/6FR79gKTmIY6STv6S1ODFBd+LCFimlzHqoNzI6UAbNbM=&amp;_app_id=central_doc_viewer&amp;center_on_screen=true&amp;width=950&amp;height=800&amp;_dd2=%26f%3Dsld%26c%3Dtrue%26os%3D171020%26oe%3D171025" TargetMode="External"/><Relationship Id="rId177" Type="http://schemas.openxmlformats.org/officeDocument/2006/relationships/hyperlink" Target="fdsup://factset/Doc%20Viewer%20Single?float_window=true&amp;positioning_strategy=center_on_screen&amp;_doc_docfn=U2FsdGVkX18LvOVsi8sPKizsCq8fGkASisg5RQkZ6Lg+J2/i/c1OGfy1qECqXoib3kblfFA/QJtQsbcKXSKRtlR/uA9hGoUAMIx/TJWu0aU=&amp;_app_id=central_doc_viewer&amp;center_on_screen=true&amp;width=950&amp;height=800&amp;_dd2=%26f%3Dsld%26c%3Dtrue%26os%3D170197%26oe%3D170199" TargetMode="External"/><Relationship Id="rId198" Type="http://schemas.openxmlformats.org/officeDocument/2006/relationships/hyperlink" Target="fdsup://factset/Doc%20Viewer%20Single?float_window=true&amp;positioning_strategy=center_on_screen&amp;_doc_docfn=U2FsdGVkX1+Kbe99/hFDl9vJkZYKNzVGpKr/ybV2XjdTtsEzFF+oIFWN3ylVidrXeHmZy6vGuoDa4SmffeppBLurzCVule6uBaJC2CqaDns=&amp;_app_id=central_doc_viewer&amp;center_on_screen=true&amp;width=950&amp;height=800&amp;_dd2=%26f%3Dsld%26c%3Dtrue%26os%3D254126%26oe%3D254133" TargetMode="External"/><Relationship Id="rId321" Type="http://schemas.openxmlformats.org/officeDocument/2006/relationships/hyperlink" Target="fdsup://factset/Doc%20Viewer%20Single?float_window=true&amp;positioning_strategy=center_on_screen&amp;_doc_docfn=U2FsdGVkX1/Gk3BszzQ3OlYT5IAUdUkmVCMz0ur1H6RjVDb/QzvqYEXjZVu9PvGeEbFvod/zbJtTLyEFaJ2CdXiSuw6aW/eLxXkVZePlDQo=&amp;_app_id=central_doc_viewer&amp;center_on_screen=true&amp;width=950&amp;height=800&amp;_dd2=%26f%3Dsld%26c%3Dtrue%26os%3D177874%26oe%3D177879" TargetMode="External"/><Relationship Id="rId342" Type="http://schemas.openxmlformats.org/officeDocument/2006/relationships/hyperlink" Target="fdsup://factset/Doc%20Viewer%20Single?float_window=true&amp;positioning_strategy=center_on_screen&amp;_doc_docfn=U2FsdGVkX18DVbb3+ahP+e2ZpGPS/guDNQX90yb4kzkhp8ehhTaZ54bZtzlXqnPM/R1vGHFIQ+8PYqCEdng9bAklIag53vC0/iE0+IGP6b4=&amp;_app_id=central_doc_viewer&amp;center_on_screen=true&amp;width=950&amp;height=800&amp;_dd2=%26f%3Dsld%26c%3Dtrue%26os%3D182909%26oe%3D182915" TargetMode="External"/><Relationship Id="rId363" Type="http://schemas.openxmlformats.org/officeDocument/2006/relationships/hyperlink" Target="fdsup://factset/Doc%20Viewer%20Single?float_window=true&amp;positioning_strategy=center_on_screen&amp;_doc_docfn=U2FsdGVkX18h68wBydOlN/ihHLxlm+E6Ah9BEtG8GsuRlpZ+64WDp7pPXfyA6+pldC1dhg75l573rZ4duDOtMx4x3V/S1h5NsxaUJBuxU18=&amp;_app_id=central_doc_viewer&amp;center_on_screen=true&amp;width=950&amp;height=800&amp;_dd2=%26f%3Dsld%26c%3Dtrue%26os%3D188175%26oe%3D188180" TargetMode="External"/><Relationship Id="rId202" Type="http://schemas.openxmlformats.org/officeDocument/2006/relationships/hyperlink" Target="fdsup://factset/Doc%20Viewer%20Single?float_window=true&amp;positioning_strategy=center_on_screen&amp;_doc_docfn=U2FsdGVkX1+M7Car08V/vD3gjW6W1WkaefuTlEZoQfKvEVYWElbTgDDkGnWrl0YleokIZHtUDnXuuRJvurniHWsifqqOx992HXMIhHpk1pw=&amp;_app_id=central_doc_viewer&amp;center_on_screen=true&amp;width=950&amp;height=800&amp;_dd2=%26f%3Dsld%26c%3Dtrue%26os%3D255128%26oe%3D255135" TargetMode="External"/><Relationship Id="rId223" Type="http://schemas.openxmlformats.org/officeDocument/2006/relationships/hyperlink" Target="fdsup://factset/Doc%20Viewer%20Single?float_window=true&amp;positioning_strategy=center_on_screen&amp;_doc_docfn=U2FsdGVkX18IcHEfhjY8iKSbU4uxLEv1jNCsKmbP2dOsamE2iLMbHdnI+QPx0I5KXw+COlkzLJjTrWZzTZM9JhD9q489HY9olX1/NBxdank=&amp;_app_id=central_doc_viewer&amp;center_on_screen=true&amp;width=950&amp;height=800&amp;_dd2=%26f%3Dsld%26c%3Dtrue%26os%3D271342%26oe%3D271349" TargetMode="External"/><Relationship Id="rId244" Type="http://schemas.openxmlformats.org/officeDocument/2006/relationships/hyperlink" Target="fdsup://factset/Doc%20Viewer%20Single?float_window=true&amp;positioning_strategy=center_on_screen&amp;_doc_docfn=U2FsdGVkX19ybf5ONKWaE+0OnWtJM60n7WoR3Hl5V7qT1FOAPU7sWqSB7Yj07sxX09AgQbuixZI7A8yRvPns3teQhavA0BVe/XJjYMOMpRE=&amp;_app_id=central_doc_viewer&amp;center_on_screen=true&amp;width=950&amp;height=800&amp;_dd2=%26f%3Dsld%26c%3Dtrue%26os%3D174500%26oe%3D174503" TargetMode="External"/><Relationship Id="rId18" Type="http://schemas.openxmlformats.org/officeDocument/2006/relationships/hyperlink" Target="fdsup://factset/Doc%20Viewer%20Single?float_window=true&amp;positioning_strategy=center_on_screen&amp;_doc_docfn=U2FsdGVkX19aa1qUeQwLOz1ONO4lU+m1uqPD2Zb4uTrf2/f6tMqdQq9dTmr/gvvSRaLnoLClHygyGKH5zO43paALY4VqbEMsPdXikkiYyFQ=&amp;_app_id=central_doc_viewer&amp;center_on_screen=true&amp;width=950&amp;height=800&amp;_dd2=%26f%3Dsld%26c%3Dtrue%26os%3D241363%26oe%3D241369" TargetMode="External"/><Relationship Id="rId39" Type="http://schemas.openxmlformats.org/officeDocument/2006/relationships/hyperlink" Target="fdsup://factset/Doc%20Viewer%20Single?float_window=true&amp;positioning_strategy=center_on_screen&amp;_doc_docfn=U2FsdGVkX1/GQhqtPv5zQg94cQJUUptp/nxalnpFj/maPDmj3YyGC++fN6ec+nQ1rnbk2+mE3zsPp5sevBHFdvsOfyiF4E1pvf50sGxk/Nk=&amp;_app_id=central_doc_viewer&amp;center_on_screen=true&amp;width=950&amp;height=800&amp;_dd2=%26f%3Dsld%26c%3Dtrue%26os%3D244381%26oe%3D244386" TargetMode="External"/><Relationship Id="rId265" Type="http://schemas.openxmlformats.org/officeDocument/2006/relationships/hyperlink" Target="fdsup://factset/Doc%20Viewer%20Single?float_window=true&amp;positioning_strategy=center_on_screen&amp;_doc_docfn=U2FsdGVkX1+Y8HcojJePLHynbKdKT3DmdZ0DongrxjmXRHE6DnjF7RKoGAYPbFioOzBgVBUhVDw44tPN8ND3BPrgVl8nyDei0y1kyFlifqU=&amp;_app_id=central_doc_viewer&amp;center_on_screen=true&amp;width=950&amp;height=800&amp;_dd2=%26f%3Dsld%26c%3Dtrue%26os%3D276644%26oe%3D276649" TargetMode="External"/><Relationship Id="rId286" Type="http://schemas.openxmlformats.org/officeDocument/2006/relationships/hyperlink" Target="fdsup://factset/Doc%20Viewer%20Single?float_window=true&amp;positioning_strategy=center_on_screen&amp;_doc_docfn=U2FsdGVkX1/km71VcHbfDalgcSBEtyENlWFwip2fp/c4jCWi/3jvleab1IcBkO79pgWYrilgsO6sAZfLxBp25TwHSjv0lw6UI6NHSMMutKU=&amp;_app_id=central_doc_viewer&amp;center_on_screen=true&amp;width=950&amp;height=800&amp;_dd2=%26f%3Dsld%26c%3Dtrue%26os%3D276010%26oe%3D276017" TargetMode="External"/><Relationship Id="rId50" Type="http://schemas.openxmlformats.org/officeDocument/2006/relationships/hyperlink" Target="fdsup://factset/Doc%20Viewer%20Single?float_window=true&amp;positioning_strategy=center_on_screen&amp;_doc_docfn=U2FsdGVkX1+KZXnDqzOePnnNes3NfRo5L+aCwfZMU2xK6RQxeGwyRNesllsMINdRsR/N0ArDGizLuE8dWLrVP0Xd+vUaV9iuC1bt6qNPFUc=&amp;_app_id=central_doc_viewer&amp;center_on_screen=true&amp;width=950&amp;height=800&amp;_dd2=%26f%3Dsld%26c%3Dtrue%26os%3D245801%26oe%3D245806" TargetMode="External"/><Relationship Id="rId104" Type="http://schemas.openxmlformats.org/officeDocument/2006/relationships/hyperlink" Target="fdsup://factset/Doc%20Viewer%20Single?float_window=true&amp;positioning_strategy=center_on_screen&amp;_doc_docfn=U2FsdGVkX194ZPxE12G74Kr/FuBDdQhQChzMBd7CQONcuc/UHNlcfFYkGW2Wmo440w1g3A2GG8d43AEViu5ao0SHS/o9YFscC1iOzvRZdVU=&amp;_app_id=central_doc_viewer&amp;center_on_screen=true&amp;width=950&amp;height=800&amp;_dd2=%26f%3Dsld%26c%3Dtrue%26os%3D160456%26oe%3D160459" TargetMode="External"/><Relationship Id="rId125" Type="http://schemas.openxmlformats.org/officeDocument/2006/relationships/hyperlink" Target="fdsup://factset/Doc%20Viewer%20Single?float_window=true&amp;positioning_strategy=center_on_screen&amp;_doc_docfn=U2FsdGVkX1+ckrV+PsHw88XmVdfkVXqZjw4Kaa02s3bM/15l5I3VZd/FTIkZeqkszAjwc715Qq2f42TE4FXObavJVVnaa6JJEIxuIldun1g=&amp;_app_id=central_doc_viewer&amp;center_on_screen=true&amp;width=950&amp;height=800&amp;_dd2=%26f%3Dsld%26c%3Dtrue%26os%3D165929%26oe%3D165937" TargetMode="External"/><Relationship Id="rId146" Type="http://schemas.openxmlformats.org/officeDocument/2006/relationships/hyperlink" Target="fdsup://factset/Doc%20Viewer%20Single?float_window=true&amp;positioning_strategy=center_on_screen&amp;_doc_docfn=U2FsdGVkX19nzdnP1jcFXjqeZShV3HUn1tX2z8LySju6fYzexSMJp+vFPEmb3A++KDdkTtPEjdVCp/DGduId/Ocd3Koa6ahrowd9hFX3kS4=&amp;_app_id=central_doc_viewer&amp;center_on_screen=true&amp;width=950&amp;height=800&amp;_dd2=%26f%3Dsld%26c%3Dtrue%26os%3D171880%26oe%3D171885" TargetMode="External"/><Relationship Id="rId167" Type="http://schemas.openxmlformats.org/officeDocument/2006/relationships/hyperlink" Target="fdsup://factset/Doc%20Viewer%20Single?float_window=true&amp;positioning_strategy=center_on_screen&amp;_doc_docfn=U2FsdGVkX1/T7aNKtu1Ll5zVMV1Pokl3/L7rJavpMJhwTi+VKBs/VrrHgdy2Fu/tBZNidQmKqL632jKojk7QDdOxZZIZuNsPQ0nRYon0MgE=&amp;_app_id=central_doc_viewer&amp;center_on_screen=true&amp;width=950&amp;height=800&amp;_dd2=%26f%3Dsld%26c%3Dtrue%26os%3D175922%26oe%3D175929" TargetMode="External"/><Relationship Id="rId188" Type="http://schemas.openxmlformats.org/officeDocument/2006/relationships/hyperlink" Target="fdsup://factset/Doc%20Viewer%20Single?float_window=true&amp;positioning_strategy=center_on_screen&amp;_doc_docfn=U2FsdGVkX18K3uKQVd60VzNKcJH3uM8mA/raxybQlx/mHgXkMaa3te96u8Wen416LT2fQWpgIS5gfEv2vdhHL0Zoe55wFiWEnC9kmom+dRs=&amp;_app_id=central_doc_viewer&amp;center_on_screen=true&amp;width=950&amp;height=800&amp;_dd2=%26f%3Dsld%26c%3Dtrue%26os%3D174484%26oe%3D174489" TargetMode="External"/><Relationship Id="rId311" Type="http://schemas.openxmlformats.org/officeDocument/2006/relationships/hyperlink" Target="fdsup://factset/Doc%20Viewer%20Single?float_window=true&amp;positioning_strategy=center_on_screen&amp;_doc_docfn=U2FsdGVkX18EQcA0YmuZnuc5QVVhQYALbecrhPukqzNmRPeED2pehXiwyB5084EaB7nwQaXTy3NW1KpAakEHbfG0DO7t0w/c+udt/IaTH9E=&amp;_app_id=central_doc_viewer&amp;center_on_screen=true&amp;width=950&amp;height=800&amp;_dd2=%26f%3Dsld%26c%3Dtrue%26os%3D181355%26oe%3D181360" TargetMode="External"/><Relationship Id="rId332" Type="http://schemas.openxmlformats.org/officeDocument/2006/relationships/hyperlink" Target="fdsup://factset/Doc%20Viewer%20Single?float_window=true&amp;positioning_strategy=center_on_screen&amp;_doc_docfn=U2FsdGVkX1+e/xAFjznHcywTOl0y+uBpH01UDq7/U+TyrV/Yj9nNIbutqKlzbdX7tAtajY7u7ADzqW0I2ZKuFD36z7x+5wsCBLC+XHvfskg=&amp;_app_id=central_doc_viewer&amp;center_on_screen=true&amp;width=950&amp;height=800&amp;_dd2=%26f%3Dsld%26c%3Dtrue%26os%3D182171%26oe%3D182177" TargetMode="External"/><Relationship Id="rId353" Type="http://schemas.openxmlformats.org/officeDocument/2006/relationships/hyperlink" Target="fdsup://factset/Doc%20Viewer%20Single?float_window=true&amp;positioning_strategy=center_on_screen&amp;_doc_docfn=U2FsdGVkX1937B4RaWRb0wSPDonTNv2u7ZLxo4lhjbC6XVV8O5V/8/8dISIfv7NROIABc7Zz/OBOo0YH266VP4w35hUr7Zbbj9fr/gzkj+A=&amp;_app_id=central_doc_viewer&amp;center_on_screen=true&amp;width=950&amp;height=800&amp;_dd2=%26f%3Dsld%26c%3Dtrue%26os%3D187432%26oe%3D187437" TargetMode="External"/><Relationship Id="rId71" Type="http://schemas.openxmlformats.org/officeDocument/2006/relationships/hyperlink" Target="fdsup://factset/Doc%20Viewer%20Single?float_window=true&amp;positioning_strategy=center_on_screen&amp;_doc_docfn=U2FsdGVkX19yM3nxdYxDJcDTfu0vxGuZgxN7fEE8zRaPtHxgE5gAd8IaAGBUVAiArqnfxKboqX3/pqJmzw+8UNynB+K5MjJgDIj5/Z6QVb0=&amp;_app_id=central_doc_viewer&amp;center_on_screen=true&amp;width=950&amp;height=800&amp;_dd2=%26f%3Dsld%26c%3Dtrue%26os%3D246928%26oe%3D246935" TargetMode="External"/><Relationship Id="rId92" Type="http://schemas.openxmlformats.org/officeDocument/2006/relationships/hyperlink" Target="fdsup://factset/Doc%20Viewer%20Single?float_window=true&amp;positioning_strategy=center_on_screen&amp;_doc_docfn=U2FsdGVkX1+hJCjEAGH5WiNJWgcEw2mixhjtSeX7699DGq2E+LN4Y+uOXe3xeWR2kTkqGxcoJ0FUUPQYV1+s/nO1goK9mv2ZJVdx9V1y5BE=&amp;_app_id=central_doc_viewer&amp;center_on_screen=true&amp;width=950&amp;height=800&amp;_dd2=%26f%3Dsld%26c%3Dtrue%26os%3D259699%26oe%3D259704" TargetMode="External"/><Relationship Id="rId213" Type="http://schemas.openxmlformats.org/officeDocument/2006/relationships/hyperlink" Target="fdsup://factset/Doc%20Viewer%20Single?float_window=true&amp;positioning_strategy=center_on_screen&amp;_doc_docfn=U2FsdGVkX18D0MaZIp9LnmQaMVlZNRl5VzDSnvUEI0TiKp9P03XV6516tMCpVlWb8UHAc4/1dMyYB3teazSiyPP79XtG6w2R8AlafI3OFzc=&amp;_app_id=central_doc_viewer&amp;center_on_screen=true&amp;width=950&amp;height=800&amp;_dd2=%26f%3Dsld%26c%3Dtrue%26os%3D278243%26oe%3D278250" TargetMode="External"/><Relationship Id="rId234" Type="http://schemas.openxmlformats.org/officeDocument/2006/relationships/hyperlink" Target="fdsup://factset/Doc%20Viewer%20Single?float_window=true&amp;positioning_strategy=center_on_screen&amp;_doc_docfn=U2FsdGVkX18EZj1qaF2l31LQALDT+d32mQB+QCJ3hULXyKpZDVCmCy6UaY7myNDrBJSpq2MgTbu4S9HfVsgV0tACn2GEf3M9TXXbJuH6q34=&amp;_app_id=central_doc_viewer&amp;center_on_screen=true&amp;width=950&amp;height=800&amp;_dd2=%26f%3Dsld%26c%3Dtrue%26os%3D171257%26oe%3D171260" TargetMode="External"/><Relationship Id="rId2" Type="http://schemas.openxmlformats.org/officeDocument/2006/relationships/hyperlink" Target="fdsup://factset/Doc%20Viewer%20Single?float_window=true&amp;positioning_strategy=center_on_screen&amp;_doc_docfn=U2FsdGVkX1/LgHXb9y/ere+/u0IGEBe5d/8ZtDHLbXqNwhZDDpiTKYvR9l2tyajGWkpdHTtWRMAQzn+vSVyqoJZ+n/nsxL6OrMiaRUOE1IA=&amp;_app_id=central_doc_viewer&amp;center_on_screen=true&amp;width=950&amp;height=800&amp;_dd2=%26f%3Dsld%26c%3Dtrue%26os%3D164750%26oe%3D164755" TargetMode="External"/><Relationship Id="rId29" Type="http://schemas.openxmlformats.org/officeDocument/2006/relationships/hyperlink" Target="fdsup://factset/Doc%20Viewer%20Single?float_window=true&amp;positioning_strategy=center_on_screen&amp;_doc_docfn=U2FsdGVkX19iKS+9jVjdqDDtmeWEiWBPCoDRGNqAW6PrEqud4YbO63LV77z10KVih+9V+i1jfP36n1yQJbwjkNW/TG8ef0HVsJFm/cJUhyI=&amp;_app_id=central_doc_viewer&amp;center_on_screen=true&amp;width=950&amp;height=800&amp;_dd2=%26f%3Dsld%26c%3Dtrue%26os%3D243654%26oe%3D243659" TargetMode="External"/><Relationship Id="rId255" Type="http://schemas.openxmlformats.org/officeDocument/2006/relationships/hyperlink" Target="fdsup://factset/Doc%20Viewer%20Single?float_window=true&amp;positioning_strategy=center_on_screen&amp;_doc_docfn=U2FsdGVkX1/2tBb/bp32DS9jH7cqdualnVdvj0dmNCT2MQYvnuMZW1OVUP1CC99GTRHqvtYpIenefWZG3XCYXI39IJesWUcoFiHYTHGPA8A=&amp;_app_id=central_doc_viewer&amp;center_on_screen=true&amp;width=950&amp;height=800&amp;_dd2=%26f%3Dsld%26c%3Dtrue%26os%3D172289%26oe%3D172294" TargetMode="External"/><Relationship Id="rId276" Type="http://schemas.openxmlformats.org/officeDocument/2006/relationships/hyperlink" Target="fdsup://factset/Doc%20Viewer%20Single?float_window=true&amp;positioning_strategy=center_on_screen&amp;_doc_docfn=U2FsdGVkX1/GDtt0b8GmtVz4Ftx0A+6fidZIOPw7vN6xYkgPgUsTWtHk/n3k4+v4oQhzXWhZeDnjxdGxl4gdkSZgqVUnyBPVJYViBpQWhjI=&amp;_app_id=central_doc_viewer&amp;center_on_screen=true&amp;width=950&amp;height=800&amp;_dd2=%26f%3Dsld%26c%3Dtrue%26os%3D275239%26oe%3D275246" TargetMode="External"/><Relationship Id="rId297" Type="http://schemas.openxmlformats.org/officeDocument/2006/relationships/hyperlink" Target="fdsup://factset/Doc%20Viewer%20Single?float_window=true&amp;positioning_strategy=center_on_screen&amp;_doc_docfn=U2FsdGVkX1/9XrDtgnovrWWFNt7N2NXc3hafeZ3GlHRHwv7MzUGenGGR+ZgGzaKEYyzGmrlEFSKKiOTYOvhJ0E/8cwOh3RQkdVxO444A5SU=&amp;_app_id=central_doc_viewer&amp;center_on_screen=true&amp;width=950&amp;height=800&amp;_dd2=%26f%3Dsld%26c%3Dtrue%26os%3D261045%26oe%3D261051" TargetMode="External"/><Relationship Id="rId40" Type="http://schemas.openxmlformats.org/officeDocument/2006/relationships/hyperlink" Target="fdsup://factset/Doc%20Viewer%20Single?float_window=true&amp;positioning_strategy=center_on_screen&amp;_doc_docfn=U2FsdGVkX1+sCMcDVptxOsKJ1r1BMn/O/38yEEZx3rA49pk6eU12iHXoIrRo+o7zx9T6WLsBYKqhaMYGCqGGXQNGKq8xOzjCQCCl7Z0dXiI=&amp;_app_id=central_doc_viewer&amp;center_on_screen=true&amp;width=950&amp;height=800&amp;_dd2=%26f%3Dsld%26c%3Dtrue%26os%3D254103%26oe%3D254108" TargetMode="External"/><Relationship Id="rId115" Type="http://schemas.openxmlformats.org/officeDocument/2006/relationships/hyperlink" Target="fdsup://factset/Doc%20Viewer%20Single?float_window=true&amp;positioning_strategy=center_on_screen&amp;_doc_docfn=U2FsdGVkX18RzBH+JqN+zbRaFNhEkHcrcfPyKJfQXGScgiqnXBJPqB3bmELjXIx36mcALvdlbroHVn7i9nbOV2IKnnJMxZU8SgtDtkz/8lA=&amp;_app_id=central_doc_viewer&amp;center_on_screen=true&amp;width=950&amp;height=800&amp;_dd2=%26f%3Dsld%26c%3Dtrue%26os%3D171045%26oe%3D171052" TargetMode="External"/><Relationship Id="rId136" Type="http://schemas.openxmlformats.org/officeDocument/2006/relationships/hyperlink" Target="fdsup://factset/Doc%20Viewer%20Single?float_window=true&amp;positioning_strategy=center_on_screen&amp;_doc_docfn=U2FsdGVkX1+pDwMJlaeWXnZfbOM5Gd0B4uVwDkd+YuTuG80Gd5QYliorNhFebX8pfpOmKaDtM8RTivpZznaaKFSPUqRe9aYnbJqy5xTZ28w=&amp;_app_id=central_doc_viewer&amp;center_on_screen=true&amp;width=950&amp;height=800&amp;_dd2=%26f%3Dsld%26c%3Dtrue%26os%3D171880%26oe%3D171885" TargetMode="External"/><Relationship Id="rId157" Type="http://schemas.openxmlformats.org/officeDocument/2006/relationships/hyperlink" Target="fdsup://factset/Doc%20Viewer%20Single?float_window=true&amp;positioning_strategy=center_on_screen&amp;_doc_docfn=U2FsdGVkX1/gvaA9Smd2WofpvE4fAVRbmBrEIeND9MjkuwimYzPG4f/yA2XSGYLNMhPWXsQ27HR2ZsmB7hlQ1hiOiMGh0OrhMES0FRnNcKk=&amp;_app_id=central_doc_viewer&amp;center_on_screen=true&amp;width=950&amp;height=800&amp;_dd2=%26f%3Dsld%26c%3Dtrue%26os%3D174155%26oe%3D174160" TargetMode="External"/><Relationship Id="rId178" Type="http://schemas.openxmlformats.org/officeDocument/2006/relationships/hyperlink" Target="fdsup://factset/Doc%20Viewer%20Single?float_window=true&amp;positioning_strategy=center_on_screen&amp;_doc_docfn=U2FsdGVkX1+jaJ+bdvsgdsTSkHaVeLwY59t4eK9pRffoaCnfwMxjCQyUcX/Oz/DK//OJlPCW9AO33YoxfGLgkPVuMemJr4di/gWxvhoqRug=&amp;_app_id=central_doc_viewer&amp;center_on_screen=true&amp;width=950&amp;height=800&amp;_dd2=%26f%3Dsld%26c%3Dtrue%26os%3D174484%26oe%3D174489" TargetMode="External"/><Relationship Id="rId301" Type="http://schemas.openxmlformats.org/officeDocument/2006/relationships/hyperlink" Target="fdsup://factset/Doc%20Viewer%20Single?float_window=true&amp;positioning_strategy=center_on_screen&amp;_doc_docfn=U2FsdGVkX1+bRgC1z+L1Wf90fwnS7nWDHCre/1xa8lqfKjJtB9mJSTvUB94Z54WxiHtB6p3N5WyNreXqJwYblh/shy+4CbX2c9vQpNyDJvg=&amp;_app_id=central_doc_viewer&amp;center_on_screen=true&amp;width=950&amp;height=800&amp;_dd2=%26f%3Dsld%26c%3Dtrue%26os%3D180506%26oe%3D180508" TargetMode="External"/><Relationship Id="rId322" Type="http://schemas.openxmlformats.org/officeDocument/2006/relationships/hyperlink" Target="fdsup://factset/Doc%20Viewer%20Single?float_window=true&amp;positioning_strategy=center_on_screen&amp;_doc_docfn=U2FsdGVkX1+kLzVALA1R7dGzTYklxL7dYfPeTBoUfw9O8AgdaqacFbvLLLsMwHlrO+H4LRx3DrwE6rl2y5ECPYBU39LGpsyCsIwlwjETkvc=&amp;_app_id=central_doc_viewer&amp;center_on_screen=true&amp;width=950&amp;height=800&amp;_dd2=%26f%3Dsld%26c%3Dtrue%26os%3D181355%26oe%3D181360" TargetMode="External"/><Relationship Id="rId343" Type="http://schemas.openxmlformats.org/officeDocument/2006/relationships/hyperlink" Target="fdsup://factset/Doc%20Viewer%20Single?float_window=true&amp;positioning_strategy=center_on_screen&amp;_doc_docfn=U2FsdGVkX1/+9Ucuk4qp4RSnYR918iFm+58Q79oAHMFdn56dJwirNcHQ6er/hj/zrYNOTVvfNk4KwlaR8lbx8Tn6o+7oTA2Hht9y5xcUviU=&amp;_app_id=central_doc_viewer&amp;center_on_screen=true&amp;width=950&amp;height=800&amp;_dd2=%26f%3Dsld%26c%3Dtrue%26os%3D186325%26oe%3D186331" TargetMode="External"/><Relationship Id="rId364" Type="http://schemas.openxmlformats.org/officeDocument/2006/relationships/hyperlink" Target="fdsup://factset/Doc%20Viewer%20Single?float_window=true&amp;positioning_strategy=center_on_screen&amp;_doc_docfn=U2FsdGVkX19LCMx40EAGLhDouiaIZTeMeQ1SKYbhhS2qUUEH23jf3eraHn81ISv4qL+qomLy9b8I9c0VYr5BfJe51JS2MT9hdkrkvLsOf8Q=&amp;_app_id=central_doc_viewer&amp;center_on_screen=true&amp;width=950&amp;height=800&amp;_dd2=%26f%3Dsld%26c%3Dtrue%26os%3D191292%26oe%3D191297" TargetMode="External"/><Relationship Id="rId61" Type="http://schemas.openxmlformats.org/officeDocument/2006/relationships/hyperlink" Target="fdsup://factset/Doc%20Viewer%20Single?float_window=true&amp;positioning_strategy=center_on_screen&amp;_doc_docfn=U2FsdGVkX18ztgmvV9WIFXRhWQ0VKDmFUSA12u0IN1P3aIV9VVphA8gVeCCSL3Dj1M9LhrW6daDQ0r0l9XzD1TD1Dc+NBUKKWpUYzJ3LDJA=&amp;_app_id=central_doc_viewer&amp;center_on_screen=true&amp;width=950&amp;height=800&amp;_dd2=%26f%3Dsld%26c%3Dtrue%26os%3D254831%26oe%3D254836" TargetMode="External"/><Relationship Id="rId82" Type="http://schemas.openxmlformats.org/officeDocument/2006/relationships/hyperlink" Target="fdsup://factset/Doc%20Viewer%20Single?float_window=true&amp;positioning_strategy=center_on_screen&amp;_doc_docfn=U2FsdGVkX1+v1ylcBv9cD/nmXVxCm29rFKzdyae8LozCS/zY5Av0jrxqk+kP0YSQiRinEHBNtW9CW9A8K7u/5tOAs6Aj04TlV62hsHZUbbU=&amp;_app_id=central_doc_viewer&amp;center_on_screen=true&amp;width=950&amp;height=800&amp;_dd2=%26f%3Dsld%26c%3Dtrue%26os%3D258926%26oe%3D258933" TargetMode="External"/><Relationship Id="rId199" Type="http://schemas.openxmlformats.org/officeDocument/2006/relationships/hyperlink" Target="fdsup://factset/Doc%20Viewer%20Single?float_window=true&amp;positioning_strategy=center_on_screen&amp;_doc_docfn=U2FsdGVkX18ArNufHQhAwr5l2nrjCAvSeEMobxPgOJe4RY5HFYEKa71jMlCkOTEEXdIbq8qUMzGG7YbFG974rCRrRfbbGbRLZvO8nnsFFgM=&amp;_app_id=central_doc_viewer&amp;center_on_screen=true&amp;width=950&amp;height=800&amp;_dd2=%26f%3Dsld%26c%3Dtrue%26os%3D434982%26oe%3D434989" TargetMode="External"/><Relationship Id="rId203" Type="http://schemas.openxmlformats.org/officeDocument/2006/relationships/hyperlink" Target="fdsup://factset/Doc%20Viewer%20Single?float_window=true&amp;positioning_strategy=center_on_screen&amp;_doc_docfn=U2FsdGVkX18oE7oZ3tCzdgfHQUa8NQ+NW+pVbuqLcNwVX8gGaK+apPZQAPsvkmKBfBPAixiQlkthXA+oqw4RFpaeBCzwsGWy1oPhN8I+kDg=&amp;_app_id=central_doc_viewer&amp;center_on_screen=true&amp;width=950&amp;height=800&amp;_dd2=%26f%3Dsld%26c%3Dtrue%26os%3D266403%26oe%3D266410" TargetMode="External"/><Relationship Id="rId19" Type="http://schemas.openxmlformats.org/officeDocument/2006/relationships/hyperlink" Target="fdsup://factset/Doc%20Viewer%20Single?float_window=true&amp;positioning_strategy=center_on_screen&amp;_doc_docfn=U2FsdGVkX1/FJzufy8pKqLA/g29Y15mkEmkLrgn0AYJHW69mJmtGPG/C50ss6rZiO2mGX2dk947nwF8YesEW9HEJZH7db/WuG9J6b4l2Ca0=&amp;_app_id=central_doc_viewer&amp;center_on_screen=true&amp;width=950&amp;height=800&amp;_dd2=%26f%3Dsld%26c%3Dtrue%26os%3D242630%26oe%3D242636" TargetMode="External"/><Relationship Id="rId224" Type="http://schemas.openxmlformats.org/officeDocument/2006/relationships/hyperlink" Target="fdsup://factset/Doc%20Viewer%20Single?float_window=true&amp;positioning_strategy=center_on_screen&amp;_doc_docfn=U2FsdGVkX19RIwB8UF4XLFfaOyD64eQLwUJ2CjQkm1Fh70y0Qx1KiOVqmmMQ5og16xZ8yil/8kKbJnpCfQjBsGDL9LaozArFR4xlhpsijp4=&amp;_app_id=central_doc_viewer&amp;center_on_screen=true&amp;width=950&amp;height=800&amp;_dd2=%26f%3Dsld%26c%3Dtrue%26os%3D170445%26oe%3D170452" TargetMode="External"/><Relationship Id="rId245" Type="http://schemas.openxmlformats.org/officeDocument/2006/relationships/hyperlink" Target="fdsup://factset/Doc%20Viewer%20Single?float_window=true&amp;positioning_strategy=center_on_screen&amp;_doc_docfn=U2FsdGVkX18DrYx0I0OZIFXc3xfohabMBHGl5UEBiCxKQu3Bp2foku379EULlDCu63ATv6BbmM9AiDMuM6IegonlQOD3+0YiRGZNiT1503s=&amp;_app_id=central_doc_viewer&amp;center_on_screen=true&amp;width=950&amp;height=800&amp;_dd2=%26f%3Dsld%26c%3Dtrue%26os%3D177978%26oe%3D177983" TargetMode="External"/><Relationship Id="rId266" Type="http://schemas.openxmlformats.org/officeDocument/2006/relationships/hyperlink" Target="fdsup://factset/Doc%20Viewer%20Single?float_window=true&amp;positioning_strategy=center_on_screen&amp;_doc_docfn=U2FsdGVkX19gXulM8/ticzFPXqdxX7uts+CETGIWgiOFaPfrV/qtOa+OzcM8EoMkUuQV13r6otdKeeaBAjylfjCuLSoKyxHgFXBrUu8/yqY=&amp;_app_id=central_doc_viewer&amp;center_on_screen=true&amp;width=950&amp;height=800&amp;_dd2=%26f%3Dsld%26c%3Dtrue%26os%3D279067%26oe%3D279072" TargetMode="External"/><Relationship Id="rId287" Type="http://schemas.openxmlformats.org/officeDocument/2006/relationships/hyperlink" Target="fdsup://factset/Doc%20Viewer%20Single?float_window=true&amp;positioning_strategy=center_on_screen&amp;_doc_docfn=U2FsdGVkX19wSH+ZyR0zv6LkkK+7gXUt9SwyIU8pijbhy5ZgoBSsiURnT/7mcYqn1TF+AVnWst20kapca9c5/P1XiFErJ2nhygjAP0371uQ=&amp;_app_id=central_doc_viewer&amp;center_on_screen=true&amp;width=950&amp;height=800&amp;_dd2=%26f%3Dsld%26c%3Dtrue%26os%3D260273%26oe%3D260276" TargetMode="External"/><Relationship Id="rId30" Type="http://schemas.openxmlformats.org/officeDocument/2006/relationships/hyperlink" Target="fdsup://factset/Doc%20Viewer%20Single?float_window=true&amp;positioning_strategy=center_on_screen&amp;_doc_docfn=U2FsdGVkX19pUU4rJ7zfaOLeNPgMg92MRy1XyVNE1kCt+J997MIBKEHXUAhyCxn/duU985txGKZtw7MNNE0so2W1IDVRchjM5tJ6AEOurrs=&amp;_app_id=central_doc_viewer&amp;center_on_screen=true&amp;width=950&amp;height=800&amp;_dd2=%26f%3Dsld%26c%3Dtrue%26os%3D253376%26oe%3D253381" TargetMode="External"/><Relationship Id="rId105" Type="http://schemas.openxmlformats.org/officeDocument/2006/relationships/hyperlink" Target="fdsup://factset/Doc%20Viewer%20Single?float_window=true&amp;positioning_strategy=center_on_screen&amp;_doc_docfn=U2FsdGVkX19vuVzqB6PJ7POUi3Wvc+lE83osimDF0bTqipGLM4PDDZ0I7jhkUh97JKQRCVfKnHqmqYvfgXzdbglczHkisxO3z4hZLiihCG4=&amp;_app_id=central_doc_viewer&amp;center_on_screen=true&amp;width=950&amp;height=800&amp;_dd2=%26f%3Dsld%26c%3Dtrue%26os%3D163933%26oe%3D163938" TargetMode="External"/><Relationship Id="rId126" Type="http://schemas.openxmlformats.org/officeDocument/2006/relationships/hyperlink" Target="fdsup://factset/Doc%20Viewer%20Single?float_window=true&amp;positioning_strategy=center_on_screen&amp;_doc_docfn=U2FsdGVkX1+NexOHh7+omoX4o0Tw4RYuG+5CJOLLs+z/l6GZar1gMIOE9KLOl+6hf16FI41RGomEkHnXhPwtzZltI0lBpobiCLWiAeheJxI=&amp;_app_id=central_doc_viewer&amp;center_on_screen=true&amp;width=950&amp;height=800&amp;_dd2=%26f%3Dsld%26c%3Dtrue%26os%3D170213%26oe%3D170221" TargetMode="External"/><Relationship Id="rId147" Type="http://schemas.openxmlformats.org/officeDocument/2006/relationships/hyperlink" Target="fdsup://factset/Doc%20Viewer%20Single?float_window=true&amp;positioning_strategy=center_on_screen&amp;_doc_docfn=U2FsdGVkX18sejjUs23GdqGt7dIEL88OzQ3rBckoOIPhzLH+6iYpXUqKbELsC+Nj8eyiahkDZ1S6GYeJoY5uPsuI/mpmWfpQxBrkhf1GUj8=&amp;_app_id=central_doc_viewer&amp;center_on_screen=true&amp;width=950&amp;height=800&amp;_dd2=%26f%3Dsld%26c%3Dtrue%26os%3D175015%26oe%3D175020" TargetMode="External"/><Relationship Id="rId168" Type="http://schemas.openxmlformats.org/officeDocument/2006/relationships/hyperlink" Target="fdsup://factset/Doc%20Viewer%20Single?float_window=true&amp;positioning_strategy=center_on_screen&amp;_doc_docfn=U2FsdGVkX191KuRr3vbFZNDc7D57+HQN3g6udPT0x4URc7jInYMV/MkFTS6YgMQY+uiMZNtf/Vl6n/C18I1+HAE+Nfvumr+BoKe0beaS9Ng=&amp;_app_id=central_doc_viewer&amp;center_on_screen=true&amp;width=950&amp;height=800&amp;_dd2=%26f%3Dsld%26c%3Dtrue%26os%3D253311%26oe%3D253318" TargetMode="External"/><Relationship Id="rId312" Type="http://schemas.openxmlformats.org/officeDocument/2006/relationships/hyperlink" Target="fdsup://factset/Doc%20Viewer%20Single?float_window=true&amp;positioning_strategy=center_on_screen&amp;_doc_docfn=U2FsdGVkX18EMACYr9yzX2yTYjiR4UuS9fUPkLbc3+hdVf9aojNnJ0ufVLEH9p/ZuMgu7J+ErN6rfMFHUgB3Djqxm3T58SX3AzhRRL4ls2U=&amp;_app_id=central_doc_viewer&amp;center_on_screen=true&amp;width=950&amp;height=800&amp;_dd2=%26f%3Dsld%26c%3Dtrue%26os%3D184767%26oe%3D184772" TargetMode="External"/><Relationship Id="rId333" Type="http://schemas.openxmlformats.org/officeDocument/2006/relationships/hyperlink" Target="fdsup://factset/Doc%20Viewer%20Single?float_window=true&amp;positioning_strategy=center_on_screen&amp;_doc_docfn=U2FsdGVkX18XS2sJIg9P9Ldm+C5hPS4W9iLS1cycAUrE/z+2OOf48qTpdAJkmBBW7ZiEg4yQ+IPNvXEhYNP+GyoZhGM1TQt/byM5o+prgwM=&amp;_app_id=central_doc_viewer&amp;center_on_screen=true&amp;width=950&amp;height=800&amp;_dd2=%26f%3Dsld%26c%3Dtrue%26os%3D185585%26oe%3D185591" TargetMode="External"/><Relationship Id="rId354" Type="http://schemas.openxmlformats.org/officeDocument/2006/relationships/hyperlink" Target="fdsup://factset/Doc%20Viewer%20Single?float_window=true&amp;positioning_strategy=center_on_screen&amp;_doc_docfn=U2FsdGVkX19f3Cv9jkiONLedmhvK/wI9W/Ba+MEF9+cIfBNn5/UBaAjbAOQRno/hJsrCw5zWiUv/aznR/SK/EgoMAFdpc/vhPBoQU6/RKYY=&amp;_app_id=central_doc_viewer&amp;center_on_screen=true&amp;width=950&amp;height=800&amp;_dd2=%26f%3Dsld%26c%3Dtrue%26os%3D190546%26oe%3D190551" TargetMode="External"/><Relationship Id="rId51" Type="http://schemas.openxmlformats.org/officeDocument/2006/relationships/hyperlink" Target="fdsup://factset/Doc%20Viewer%20Single?float_window=true&amp;positioning_strategy=center_on_screen&amp;_doc_docfn=U2FsdGVkX19qSDUWfuT3uI0wd5g2sBD5IFLtYxyczaWn/WB620IPeaFz3CHw+n0VT+brHzaHxgxZs8pUdV/goACjJlLsFGA2i/3rAGeeycA=&amp;_app_id=central_doc_viewer&amp;center_on_screen=true&amp;width=950&amp;height=800&amp;_dd2=%26f%3Dsld%26c%3Dtrue%26os%3D257066%26oe%3D257070" TargetMode="External"/><Relationship Id="rId72" Type="http://schemas.openxmlformats.org/officeDocument/2006/relationships/hyperlink" Target="fdsup://factset/Doc%20Viewer%20Single?float_window=true&amp;positioning_strategy=center_on_screen&amp;_doc_docfn=U2FsdGVkX1/8xBQb5cskSbu/59ByxAOKI9swIDaK1KyKHYFxigM47s++jtczeQLBi+9DLIprRBLZx/4DLDY6D4oSEPfra0XGuLYnpYugzvQ=&amp;_app_id=central_doc_viewer&amp;center_on_screen=true&amp;width=950&amp;height=800&amp;_dd2=%26f%3Dsld%26c%3Dtrue%26os%3D258176%26oe%3D258183" TargetMode="External"/><Relationship Id="rId93" Type="http://schemas.openxmlformats.org/officeDocument/2006/relationships/hyperlink" Target="fdsup://factset/Doc%20Viewer%20Single?float_window=true&amp;positioning_strategy=center_on_screen&amp;_doc_docfn=U2FsdGVkX1+D/9rI4Tiz44HJp8uy28DZhsQw5ECju5eZ/GYelNYv6qrqxmWPIw6xOD1Qg7/T9j4pxF8NGVW7Swec+TJZw2AJpErIKxWpbGI=&amp;_app_id=central_doc_viewer&amp;center_on_screen=true&amp;width=950&amp;height=800&amp;_dd2=%26f%3Dsld%26c%3Dtrue%26os%3D163098%26oe%3D163103" TargetMode="External"/><Relationship Id="rId189" Type="http://schemas.openxmlformats.org/officeDocument/2006/relationships/hyperlink" Target="fdsup://factset/Doc%20Viewer%20Single?float_window=true&amp;positioning_strategy=center_on_screen&amp;_doc_docfn=U2FsdGVkX19Kxhgo0Mcnvd9SmRN08SU3CHxmHWq9nqBTiwRahD77nziwHbfTtVzqj2QPRLxyNuumOpV4oEYO8yZIij92chq9LhSShe8e03A=&amp;_app_id=central_doc_viewer&amp;center_on_screen=true&amp;width=950&amp;height=800&amp;_dd2=%26f%3Dsld%26c%3Dtrue%26os%3D177617%26oe%3D177622" TargetMode="External"/><Relationship Id="rId3" Type="http://schemas.openxmlformats.org/officeDocument/2006/relationships/hyperlink" Target="fdsup://factset/Doc%20Viewer%20Single?float_window=true&amp;positioning_strategy=center_on_screen&amp;_doc_docfn=U2FsdGVkX18MCqY5xauHY5WctUInPbGnvVxNNe7MxHLQyJt3xHHP62wa5DPbFFs3pvjfcuerX852FRe7QImdmm0G1ch2bv6hLi4YCg3Rjxo=&amp;_app_id=central_doc_viewer&amp;center_on_screen=true&amp;width=950&amp;height=800&amp;_dd2=%26f%3Dsld%26c%3Dtrue%26os%3D169033%26oe%3D169039" TargetMode="External"/><Relationship Id="rId214" Type="http://schemas.openxmlformats.org/officeDocument/2006/relationships/hyperlink" Target="fdsup://factset/Doc%20Viewer%20Single?float_window=true&amp;positioning_strategy=center_on_screen&amp;_doc_docfn=U2FsdGVkX1+wXxhHSp/ZHD5nv03c/WoSEr+Ubz2+4d2Pde/AOjgtL3PPf117ALzPKn8qR9mEnqwBMMclqH9kuLiuanFvuoTVb80T2ee2Adk=&amp;_app_id=central_doc_viewer&amp;center_on_screen=true&amp;width=950&amp;height=800&amp;_dd2=%26f%3Dsld%26c%3Dtrue%26os%3D169644%26oe%3D169651" TargetMode="External"/><Relationship Id="rId235" Type="http://schemas.openxmlformats.org/officeDocument/2006/relationships/hyperlink" Target="fdsup://factset/Doc%20Viewer%20Single?float_window=true&amp;positioning_strategy=center_on_screen&amp;_doc_docfn=U2FsdGVkX18Qr/j33IK8VV4dww1rnx/M//aV5TZPZaOXRiQ8lgue1KzSOncuD9thCi5vPMkkNOwfPXzrRhodZQoiX5BXS/lqvifLNgERbLc=&amp;_app_id=central_doc_viewer&amp;center_on_screen=true&amp;width=950&amp;height=800&amp;_dd2=%26f%3Dsld%26c%3Dtrue%26os%3D174734%26oe%3D174737" TargetMode="External"/><Relationship Id="rId256" Type="http://schemas.openxmlformats.org/officeDocument/2006/relationships/hyperlink" Target="fdsup://factset/Doc%20Viewer%20Single?float_window=true&amp;positioning_strategy=center_on_screen&amp;_doc_docfn=U2FsdGVkX1/dFx+Q6I7SccsXufyhDhF2KBDbyuCUNsD5Xx//a/Rww0BxMYXMUS3aCE6Ujy3QUDi3gX8npBDYm/XSNg7B1okSPjOhhWZJQ3M=&amp;_app_id=central_doc_viewer&amp;center_on_screen=true&amp;width=950&amp;height=800&amp;_dd2=%26f%3Dsld%26c%3Dtrue%26os%3D175294%26oe%3D175299" TargetMode="External"/><Relationship Id="rId277" Type="http://schemas.openxmlformats.org/officeDocument/2006/relationships/hyperlink" Target="fdsup://factset/Doc%20Viewer%20Single?float_window=true&amp;positioning_strategy=center_on_screen&amp;_doc_docfn=U2FsdGVkX1/L8PQW0FAbNiYuS69QQpxx3m7LNaK/OXhsWfpX6Rs/Vw28CRxS9SZ4nYw/IkvNX+PJ+xg2X3cm4sXUm3IqdwpzdOXhdBZy+6E=&amp;_app_id=central_doc_viewer&amp;center_on_screen=true&amp;width=950&amp;height=800&amp;_dd2=%26f%3Dsld%26c%3Dtrue%26os%3D259503%26oe%3D259510" TargetMode="External"/><Relationship Id="rId298" Type="http://schemas.openxmlformats.org/officeDocument/2006/relationships/hyperlink" Target="fdsup://factset/Doc%20Viewer%20Single?float_window=true&amp;positioning_strategy=center_on_screen&amp;_doc_docfn=U2FsdGVkX19skcAx42tOSY7yU3vQ6Dv8sk/QONj16wI8sGX9yp10y/JsUmd5JVsA73P5vdTZtisnO/TsiN08b2qoWTyblErPfopZXITYoFo=&amp;_app_id=central_doc_viewer&amp;center_on_screen=true&amp;width=950&amp;height=800&amp;_dd2=%26f%3Dsld%26c%3Dtrue%26os%3D262326%26oe%3D262331" TargetMode="External"/><Relationship Id="rId116" Type="http://schemas.openxmlformats.org/officeDocument/2006/relationships/hyperlink" Target="fdsup://factset/Doc%20Viewer%20Single?float_window=true&amp;positioning_strategy=center_on_screen&amp;_doc_docfn=U2FsdGVkX18kw9+3ARB8hwaJSIFCieAAH/01x7PLOuhzFRlZ0PVUsdJCJaJcardkDxKz4sLHWLrU3a1rCzVVcEf2pFDdNLGWqLwp7iApPmU=&amp;_app_id=central_doc_viewer&amp;center_on_screen=true&amp;width=950&amp;height=800&amp;_dd2=%26f%3Dsld%26c%3Dtrue%26os%3D175333%26oe%3D175340" TargetMode="External"/><Relationship Id="rId137" Type="http://schemas.openxmlformats.org/officeDocument/2006/relationships/hyperlink" Target="fdsup://factset/Doc%20Viewer%20Single?float_window=true&amp;positioning_strategy=center_on_screen&amp;_doc_docfn=U2FsdGVkX1/V7B/W5HYjEgXxpWhfh2UlQfeeYp5yX6hI8IviBteuzCOii/1KK67Cpx7Ml38Dp/kMrjjZ0vF8BnrXCHlHzSWRYBhclsP7H9s=&amp;_app_id=central_doc_viewer&amp;center_on_screen=true&amp;width=950&amp;height=800&amp;_dd2=%26f%3Dsld%26c%3Dtrue%26os%3D175015%26oe%3D175020" TargetMode="External"/><Relationship Id="rId158" Type="http://schemas.openxmlformats.org/officeDocument/2006/relationships/hyperlink" Target="fdsup://factset/Doc%20Viewer%20Single?float_window=true&amp;positioning_strategy=center_on_screen&amp;_doc_docfn=U2FsdGVkX189yLUJJFNclFG5FKKOibO6jG03FDdf4HkDYptzh1TDDFMeKsWDqS+JY84nI9Er3jL70vA+HjfzsiwqyVnldjgYj6R+9SZ9kpk=&amp;_app_id=central_doc_viewer&amp;center_on_screen=true&amp;width=950&amp;height=800&amp;_dd2=%26f%3Dsld%26c%3Dtrue%26os%3D251656%26oe%3D251661" TargetMode="External"/><Relationship Id="rId302" Type="http://schemas.openxmlformats.org/officeDocument/2006/relationships/hyperlink" Target="fdsup://factset/Doc%20Viewer%20Single?float_window=true&amp;positioning_strategy=center_on_screen&amp;_doc_docfn=U2FsdGVkX1+HcV9z4Ub4kL7dV7v2c4gZmZqGhufWb0p6upamrgoZIJDqyBK1QYSHmFdB+AqhGWLoFTwnNwkP2XU/mrZetsdNx1yFYPGb+A0=&amp;_app_id=central_doc_viewer&amp;center_on_screen=true&amp;width=950&amp;height=800&amp;_dd2=%26f%3Dsld%26c%3Dtrue%26os%3D183916%26oe%3D183919" TargetMode="External"/><Relationship Id="rId323" Type="http://schemas.openxmlformats.org/officeDocument/2006/relationships/hyperlink" Target="fdsup://factset/Doc%20Viewer%20Single?float_window=true&amp;positioning_strategy=center_on_screen&amp;_doc_docfn=U2FsdGVkX1+r+UIdTdh58q3x2/idp51t5klQQjYWgRDKc0nDraMY+lmqqnzZP9TedIavvQ6u/Vm2rajnP91OdcnEwDnEwTJ3LowoOp/xKCM=&amp;_app_id=central_doc_viewer&amp;center_on_screen=true&amp;width=950&amp;height=800&amp;_dd2=%26f%3Dsld%26c%3Dtrue%26os%3D184767%26oe%3D184772" TargetMode="External"/><Relationship Id="rId344" Type="http://schemas.openxmlformats.org/officeDocument/2006/relationships/hyperlink" Target="fdsup://factset/Doc%20Viewer%20Single?float_window=true&amp;positioning_strategy=center_on_screen&amp;_doc_docfn=U2FsdGVkX190ynWETn42GmFdllYvkCjoLRfPY+xVjnBj+3GmsMJBHyBmL+GJFs7tyvI1pYrcPZ8wxBhO3nECDSiw5YGUXWfVD+tJ6WTG5Jw=&amp;_app_id=central_doc_viewer&amp;center_on_screen=true&amp;width=950&amp;height=800&amp;_dd2=%26f%3Dsld%26c%3Dtrue%26os%3D189439%26oe%3D189445" TargetMode="External"/><Relationship Id="rId20" Type="http://schemas.openxmlformats.org/officeDocument/2006/relationships/hyperlink" Target="fdsup://factset/Doc%20Viewer%20Single?float_window=true&amp;positioning_strategy=center_on_screen&amp;_doc_docfn=U2FsdGVkX1/mkgi8JsNvbgNswQxNMY1+Ey8iKHRSoKJX66ieMOrBInlBHglWYpObUN/r4LEdAzq6nZ+UY/LcKxMxMQ470um6Pq1k60thQUU=&amp;_app_id=central_doc_viewer&amp;center_on_screen=true&amp;width=950&amp;height=800&amp;_dd2=%26f%3Dsld%26c%3Dtrue%26os%3D252352%26oe%3D252358" TargetMode="External"/><Relationship Id="rId41" Type="http://schemas.openxmlformats.org/officeDocument/2006/relationships/hyperlink" Target="fdsup://factset/Doc%20Viewer%20Single?float_window=true&amp;positioning_strategy=center_on_screen&amp;_doc_docfn=U2FsdGVkX1/hnluSWqXXpGDGJv5C7uMuB0QzSx7Bdg8GJRW0Nida6WnbZeJX9Nk1Sv+h4z0Hjbl2VES2gQoskDtp1aN15a7gA2foLKhJXY4=&amp;_app_id=central_doc_viewer&amp;center_on_screen=true&amp;width=950&amp;height=800&amp;_dd2=%26f%3Dsld%26c%3Dtrue%26os%3D256363%26oe%3D256370" TargetMode="External"/><Relationship Id="rId62" Type="http://schemas.openxmlformats.org/officeDocument/2006/relationships/hyperlink" Target="fdsup://factset/Doc%20Viewer%20Single?float_window=true&amp;positioning_strategy=center_on_screen&amp;_doc_docfn=U2FsdGVkX18xZhmyxvKnUGRC2TM4/UDGng4ZEJIf1Y/XuFwAOfHzZTi2B8Paw8XfkmB7IRWkrQVDMWmnk6C9REli+gq/S4u/slzRYLSchx4=&amp;_app_id=central_doc_viewer&amp;center_on_screen=true&amp;width=950&amp;height=800&amp;_dd2=%26f%3Dsld%26c%3Dtrue%26os%3D255601%26oe%3D255606" TargetMode="External"/><Relationship Id="rId83" Type="http://schemas.openxmlformats.org/officeDocument/2006/relationships/hyperlink" Target="fdsup://factset/Doc%20Viewer%20Single?float_window=true&amp;positioning_strategy=center_on_screen&amp;_doc_docfn=U2FsdGVkX19waM4psgwzgtmpFqeF3NCZGwH2u1wdetgzBEOk/PUhPdzpLdIRX/NIqnyPPLPgWJv4BrzW8Phfg+Tl8+nwRN+A+TSuweIEp90=&amp;_app_id=central_doc_viewer&amp;center_on_screen=true&amp;width=950&amp;height=800&amp;_dd2=%26f%3Dsld%26c%3Dtrue%26os%3D157954%26oe%3D157959" TargetMode="External"/><Relationship Id="rId179" Type="http://schemas.openxmlformats.org/officeDocument/2006/relationships/hyperlink" Target="fdsup://factset/Doc%20Viewer%20Single?float_window=true&amp;positioning_strategy=center_on_screen&amp;_doc_docfn=U2FsdGVkX1+UKJLFT0lt5+QBZAgekAyaIaI21rveqRpoEnZUislNkx0WYkap1frMgwBJTA1rdk5G7Gbs+LH/sjCxMRv+lHYU8eYRZcemvEk=&amp;_app_id=central_doc_viewer&amp;center_on_screen=true&amp;width=950&amp;height=800&amp;_dd2=%26f%3Dsld%26c%3Dtrue%26os%3D177617%26oe%3D177622" TargetMode="External"/><Relationship Id="rId365" Type="http://schemas.openxmlformats.org/officeDocument/2006/relationships/hyperlink" Target="fdsup://factset/Doc%20Viewer%20Single?float_window=true&amp;positioning_strategy=center_on_screen&amp;_doc_docfn=U2FsdGVkX196MwH8pWUBDMUUXMbQC91ePuRrnvxwMaZ1havYUrW+ilvmfxHq+e/QJWpKS7tZcK13ZInwR8ZlMmzKmPmtpIoXHBBU4ybqC18=&amp;_app_id=central_doc_viewer&amp;center_on_screen=true&amp;width=950&amp;height=800&amp;_dd2=%26f%3Dsld%26c%3Dtrue%26os%3D266975%26oe%3D266980" TargetMode="External"/><Relationship Id="rId190" Type="http://schemas.openxmlformats.org/officeDocument/2006/relationships/hyperlink" Target="fdsup://factset/Doc%20Viewer%20Single?float_window=true&amp;positioning_strategy=center_on_screen&amp;_doc_docfn=U2FsdGVkX19TlTRdH3QS4dJETWGACULmyAiy4vnyjl9eFIiT0XPbDxsQy9oDh8MBpUgw5gMnz6+9ZdVlswtQKHlwohVj7oN85dJvLek9Bk4=&amp;_app_id=central_doc_viewer&amp;center_on_screen=true&amp;width=950&amp;height=800&amp;_dd2=%26f%3Dsld%26c%3Dtrue%26os%3D254894%26oe%3D254897" TargetMode="External"/><Relationship Id="rId204" Type="http://schemas.openxmlformats.org/officeDocument/2006/relationships/hyperlink" Target="fdsup://factset/Doc%20Viewer%20Single?float_window=true&amp;positioning_strategy=center_on_screen&amp;_doc_docfn=U2FsdGVkX1/ezv8TwFOJeTf1t9lcYTpchghFYKwG+luMahijkGCHlko0KFo4aG4I9eJ+7OS+NSp6lgEH/MdRxV7j7w+mK63RmDrJsRC7Kjo=&amp;_app_id=central_doc_viewer&amp;center_on_screen=true&amp;width=950&amp;height=800&amp;_dd2=%26f%3Dsld%26c%3Dtrue%26os%3D176153%26oe%3D176159" TargetMode="External"/><Relationship Id="rId225" Type="http://schemas.openxmlformats.org/officeDocument/2006/relationships/hyperlink" Target="fdsup://factset/Doc%20Viewer%20Single?float_window=true&amp;positioning_strategy=center_on_screen&amp;_doc_docfn=U2FsdGVkX1+zw6XcL5YsqOposPHcp+th1keDqHvwwYHvjuLkkcXjxLO8ZMIJ3ssnqx70kIn0vU6RddPkorOsJggu1Ug/oX9PbMyWYD0lF8M=&amp;_app_id=central_doc_viewer&amp;center_on_screen=true&amp;width=950&amp;height=800&amp;_dd2=%26f%3Dsld%26c%3Dtrue%26os%3D173922%26oe%3D173929" TargetMode="External"/><Relationship Id="rId246" Type="http://schemas.openxmlformats.org/officeDocument/2006/relationships/hyperlink" Target="fdsup://factset/Doc%20Viewer%20Single?float_window=true&amp;positioning_strategy=center_on_screen&amp;_doc_docfn=U2FsdGVkX1+dxZbbOIoOWpKKR3LWlZxx4a9YpwsAkARKDPUV8ZZLTXpDKCxTfP7tXFcB1mTIapBvZzSkkD+3a1Bro6kEN7yiByBAWS6OetE=&amp;_app_id=central_doc_viewer&amp;center_on_screen=true&amp;width=950&amp;height=800&amp;_dd2=%26f%3Dsld%26c%3Dtrue%26os%3D181388%26oe%3D181393" TargetMode="External"/><Relationship Id="rId267" Type="http://schemas.openxmlformats.org/officeDocument/2006/relationships/hyperlink" Target="fdsup://factset/Doc%20Viewer%20Single?float_window=true&amp;positioning_strategy=center_on_screen&amp;_doc_docfn=U2FsdGVkX18xVz/Qco5JLWWP5ob90XUQZUNkFxdseDpUWYRF9dd8Zn4mBEkNek2JZf69ThbclxkV7LPeMaULKeAdGjxekcFOE/yYJz1evtQ=&amp;_app_id=central_doc_viewer&amp;center_on_screen=true&amp;width=950&amp;height=800&amp;_dd2=%26f%3Dsld%26c%3Dtrue%26os%3D263340%26oe%3D263347" TargetMode="External"/><Relationship Id="rId288" Type="http://schemas.openxmlformats.org/officeDocument/2006/relationships/hyperlink" Target="fdsup://factset/Doc%20Viewer%20Single?float_window=true&amp;positioning_strategy=center_on_screen&amp;_doc_docfn=U2FsdGVkX18lGWk2mvoqojumfPw9lR/uqqc10yhGOhJUba9KZVpftKD9wOQy1PuwY/fYNGwzNe6ouAAN3zQ6m7bNLgpfwKm2zrkzjIEQz3U=&amp;_app_id=central_doc_viewer&amp;center_on_screen=true&amp;width=950&amp;height=800&amp;_dd2=%26f%3Dsld%26c%3Dtrue%26os%3D261556%26oe%3D261558" TargetMode="External"/><Relationship Id="rId106" Type="http://schemas.openxmlformats.org/officeDocument/2006/relationships/hyperlink" Target="fdsup://factset/Doc%20Viewer%20Single?float_window=true&amp;positioning_strategy=center_on_screen&amp;_doc_docfn=U2FsdGVkX19gj60GyMMZLb/jsYz40VjBdJkXAoZdxJNqypdOM+0l9quTi5H3QHdU4ES8DGml6GwJH6kpVPgTY6j4PR1NUHrdfiU2eLNrPyI=&amp;_app_id=central_doc_viewer&amp;center_on_screen=true&amp;width=950&amp;height=800&amp;_dd2=%26f%3Dsld%26c%3Dtrue%26os%3D168215%26oe%3D168218" TargetMode="External"/><Relationship Id="rId127" Type="http://schemas.openxmlformats.org/officeDocument/2006/relationships/hyperlink" Target="fdsup://factset/Doc%20Viewer%20Single?float_window=true&amp;positioning_strategy=center_on_screen&amp;_doc_docfn=U2FsdGVkX1/PYg8r+WLKXVoKuJbi1/oIymg5F/z2vJ7WlR2TgHpKOWcZZzQuOd5oF3ALgFMD64Uld6Ny9r3Bejv+zebqIsFlmQlmgdL20Qk=&amp;_app_id=central_doc_viewer&amp;center_on_screen=true&amp;width=950&amp;height=800&amp;_dd2=%26f%3Dsld%26c%3Dtrue%26os%3D173346%26oe%3D173354" TargetMode="External"/><Relationship Id="rId313" Type="http://schemas.openxmlformats.org/officeDocument/2006/relationships/hyperlink" Target="fdsup://factset/Doc%20Viewer%20Single?float_window=true&amp;positioning_strategy=center_on_screen&amp;_doc_docfn=U2FsdGVkX18FImV72jvscSC1EpB/C4vrpphmtULDTpr8GaC8vtUVWebCd5cDVfj5rXsKJ/EWp5bHQR7qQX43LvcnM1hB1bMsqddedyS4VQA=&amp;_app_id=central_doc_viewer&amp;center_on_screen=true&amp;width=950&amp;height=800&amp;_dd2=%26f%3Dsld%26c%3Dtrue%26os%3D187877%26oe%3D187884" TargetMode="External"/><Relationship Id="rId10" Type="http://schemas.openxmlformats.org/officeDocument/2006/relationships/hyperlink" Target="fdsup://factset/Doc%20Viewer%20Single?float_window=true&amp;positioning_strategy=center_on_screen&amp;_doc_docfn=U2FsdGVkX18BeOj8uAkCUInXX5BmW3BF/dSf0wUjTFdqgpy68dAECirPklgH0xihH/kLaJ3uCJyTN1vy02/17ZH7fqqZ6/glNtDMaEeIVZs=&amp;_app_id=central_doc_viewer&amp;center_on_screen=true&amp;width=950&amp;height=800&amp;_dd2=%26f%3Dsld%26c%3Dtrue%26os%3D262050%26oe%3D262056" TargetMode="External"/><Relationship Id="rId31" Type="http://schemas.openxmlformats.org/officeDocument/2006/relationships/hyperlink" Target="fdsup://factset/Doc%20Viewer%20Single?float_window=true&amp;positioning_strategy=center_on_screen&amp;_doc_docfn=U2FsdGVkX18w+FCOpDs9huU6jLyuR0KtdMi01xiUOjuGPEjUqysVgnpKG3eeX47sKu8mEm4JFVkGjMQ2MPRR7bIqoQw2vU4fxsPz3IdiXoA=&amp;_app_id=central_doc_viewer&amp;center_on_screen=true&amp;width=950&amp;height=800&amp;_dd2=%26f%3Dsld%26c%3Dtrue%26os%3D153588%26oe%3D153592" TargetMode="External"/><Relationship Id="rId52" Type="http://schemas.openxmlformats.org/officeDocument/2006/relationships/hyperlink" Target="fdsup://factset/Doc%20Viewer%20Single?float_window=true&amp;positioning_strategy=center_on_screen&amp;_doc_docfn=U2FsdGVkX1+VrEfTcMNX2SCiOD+eFG0gxolZ6AGbFbgn1BHs5R+Le2uwBDi0l7zoFc48TMUOnBfswJqTkY56EJ2VCCQ/Yp4UxB8qSn910bU=&amp;_app_id=central_doc_viewer&amp;center_on_screen=true&amp;width=950&amp;height=800&amp;_dd2=%26f%3Dsld%26c%3Dtrue%26os%3D154364%26oe%3D154367" TargetMode="External"/><Relationship Id="rId73" Type="http://schemas.openxmlformats.org/officeDocument/2006/relationships/hyperlink" Target="fdsup://factset/Doc%20Viewer%20Single?float_window=true&amp;positioning_strategy=center_on_screen&amp;_doc_docfn=U2FsdGVkX1+QeOvuq4q2xlOdP62LOQ3x6G04sdPDtMAdib5W7bAvaRwjrvc5LmoULfJdVPB7zQPC6WI0CUa2eWZfOlom6/jsXgbeXBtVLm4=&amp;_app_id=central_doc_viewer&amp;center_on_screen=true&amp;width=950&amp;height=800&amp;_dd2=%26f%3Dsld%26c%3Dtrue%26os%3D157131%26oe%3D157138" TargetMode="External"/><Relationship Id="rId94" Type="http://schemas.openxmlformats.org/officeDocument/2006/relationships/hyperlink" Target="fdsup://factset/Doc%20Viewer%20Single?float_window=true&amp;positioning_strategy=center_on_screen&amp;_doc_docfn=U2FsdGVkX1+8RuXYtbziNZlq1keDB6Gr4esdnyLdHIa12oPVloyzblwl5bPsuCndu5vvjKAX5N8Eya71Zp35lBr+OeiJm6S+bHkTKCqQZB8=&amp;_app_id=central_doc_viewer&amp;center_on_screen=true&amp;width=950&amp;height=800&amp;_dd2=%26f%3Dsld%26c%3Dtrue%26os%3D167382%26oe%3D167385" TargetMode="External"/><Relationship Id="rId148" Type="http://schemas.openxmlformats.org/officeDocument/2006/relationships/hyperlink" Target="fdsup://factset/Doc%20Viewer%20Single?float_window=true&amp;positioning_strategy=center_on_screen&amp;_doc_docfn=U2FsdGVkX1/Mnc09pUCQojSBXqqCVdzctjzRB86F+DeK6TqrVU91LIQeB/IZ9aewK8fUcTpxVKNYlDy9vAAjL9jZC9x34XiKicX4FsI1oLU=&amp;_app_id=central_doc_viewer&amp;center_on_screen=true&amp;width=950&amp;height=800&amp;_dd2=%26f%3Dsld%26c%3Dtrue%26os%3D252460%26oe%3D252465" TargetMode="External"/><Relationship Id="rId169" Type="http://schemas.openxmlformats.org/officeDocument/2006/relationships/hyperlink" Target="fdsup://factset/Doc%20Viewer%20Single?float_window=true&amp;positioning_strategy=center_on_screen&amp;_doc_docfn=U2FsdGVkX1+NDJWYMeCCE2+2NjEn81WWSdMh3L6FPA2aVdz3xjvPcvzuVM2dIiwO7SQrOgnQZ2xHCtuEYw95o16phdCTTdYOCZt8zptUGKg=&amp;_app_id=central_doc_viewer&amp;center_on_screen=true&amp;width=950&amp;height=800&amp;_dd2=%26f%3Dsld%26c%3Dtrue%26os%3D434167%26oe%3D434174" TargetMode="External"/><Relationship Id="rId334" Type="http://schemas.openxmlformats.org/officeDocument/2006/relationships/hyperlink" Target="fdsup://factset/Doc%20Viewer%20Single?float_window=true&amp;positioning_strategy=center_on_screen&amp;_doc_docfn=U2FsdGVkX19FQ0+bo//6YSoiWPeWj8yEqK6J3/EMj4IigcakwAawwnCQRfmCMtDNwp35dRv3N9HTUutM0x6V/gbyhGBKIlBWNrGCi+8Ow2Y=&amp;_app_id=central_doc_viewer&amp;center_on_screen=true&amp;width=950&amp;height=800&amp;_dd2=%26f%3Dsld%26c%3Dtrue%26os%3D188697%26oe%3D188703" TargetMode="External"/><Relationship Id="rId355" Type="http://schemas.openxmlformats.org/officeDocument/2006/relationships/hyperlink" Target="fdsup://factset/Doc%20Viewer%20Single?float_window=true&amp;positioning_strategy=center_on_screen&amp;_doc_docfn=U2FsdGVkX19EmxEeJU6GqaGCNJcDo0bapOcJ7+LBIklH52G1ajWwKNhlt5Wh6UUguOe4bELJV18Gqu8aMAQuPxixiaMZ/uUqEBakLe1JJSM=&amp;_app_id=central_doc_viewer&amp;center_on_screen=true&amp;width=950&amp;height=800&amp;_dd2=%26f%3Dsld%26c%3Dtrue%26os%3D266279%26oe%3D2662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7BAB-69F5-47CE-BE75-F39054E87882}">
  <dimension ref="A2:R14"/>
  <sheetViews>
    <sheetView showGridLines="0" zoomScaleNormal="100" workbookViewId="0">
      <selection activeCell="F22" sqref="F22"/>
    </sheetView>
  </sheetViews>
  <sheetFormatPr defaultRowHeight="14.4" x14ac:dyDescent="0.3"/>
  <cols>
    <col min="1" max="1" width="3.5546875" style="24" customWidth="1"/>
  </cols>
  <sheetData>
    <row r="2" spans="1:18" s="22" customFormat="1" ht="21" x14ac:dyDescent="0.4">
      <c r="A2" s="26"/>
      <c r="B2" s="23" t="s">
        <v>12</v>
      </c>
    </row>
    <row r="3" spans="1:18" x14ac:dyDescent="0.3">
      <c r="B3" t="s">
        <v>258</v>
      </c>
    </row>
    <row r="4" spans="1:18" x14ac:dyDescent="0.3">
      <c r="B4" s="27" t="s">
        <v>13</v>
      </c>
      <c r="C4" s="27"/>
      <c r="D4" s="27"/>
      <c r="E4" s="27"/>
      <c r="F4" s="27"/>
      <c r="G4" s="27"/>
      <c r="H4" s="27"/>
      <c r="I4" s="27"/>
      <c r="J4" s="27"/>
      <c r="K4" s="27"/>
      <c r="L4" s="27"/>
      <c r="M4" s="27"/>
      <c r="N4" s="27"/>
      <c r="O4" s="27"/>
      <c r="P4" s="27"/>
      <c r="Q4" s="27"/>
      <c r="R4" s="27"/>
    </row>
    <row r="5" spans="1:18" s="189" customFormat="1" x14ac:dyDescent="0.3">
      <c r="A5" s="187"/>
      <c r="B5" s="188"/>
      <c r="C5" s="188"/>
      <c r="D5" s="188"/>
      <c r="E5" s="188"/>
      <c r="F5" s="188"/>
      <c r="G5" s="188"/>
      <c r="H5" s="188"/>
      <c r="I5" s="188"/>
      <c r="J5" s="188"/>
      <c r="K5" s="188"/>
      <c r="L5" s="188"/>
      <c r="M5" s="188"/>
      <c r="N5" s="188"/>
      <c r="O5" s="188"/>
      <c r="P5" s="188"/>
      <c r="Q5" s="188"/>
      <c r="R5" s="188"/>
    </row>
    <row r="6" spans="1:18" x14ac:dyDescent="0.3">
      <c r="B6" s="190" t="s">
        <v>10</v>
      </c>
      <c r="C6" s="191"/>
      <c r="D6" s="192" t="str">
        <f>HYPERLINK(
"https://finance.yahoo.com/quote/"&amp;SUBSTITUTE(B3," ","")&amp;"/analysis",
"Growth Expectations (Yahoo)")</f>
        <v>Growth Expectations (Yahoo)</v>
      </c>
      <c r="E6" s="191"/>
      <c r="F6" s="191"/>
      <c r="G6" s="191"/>
      <c r="H6" s="191"/>
      <c r="I6" s="191"/>
      <c r="J6" s="191"/>
      <c r="K6" s="191"/>
      <c r="L6" s="191"/>
      <c r="M6" s="191"/>
      <c r="N6" s="191"/>
      <c r="O6" s="191"/>
      <c r="P6" s="191"/>
      <c r="Q6" s="191"/>
      <c r="R6" s="191"/>
    </row>
    <row r="7" spans="1:18" x14ac:dyDescent="0.3">
      <c r="B7" t="s">
        <v>211</v>
      </c>
    </row>
    <row r="8" spans="1:18" x14ac:dyDescent="0.3">
      <c r="B8" t="s">
        <v>212</v>
      </c>
    </row>
    <row r="9" spans="1:18" x14ac:dyDescent="0.3">
      <c r="B9" t="s">
        <v>216</v>
      </c>
    </row>
    <row r="11" spans="1:18" x14ac:dyDescent="0.3">
      <c r="B11" s="190" t="s">
        <v>11</v>
      </c>
      <c r="C11" s="191"/>
      <c r="D11" s="192" t="str">
        <f>HYPERLINK(
"https://finance.yahoo.com/quote/"&amp;SUBSTITUTE(B8," ","")&amp;"/analysis",
"Bear Signals &amp; Red Flags")</f>
        <v>Bear Signals &amp; Red Flags</v>
      </c>
      <c r="E11" s="191"/>
      <c r="F11" s="191"/>
      <c r="G11" s="191"/>
      <c r="H11" s="191"/>
      <c r="I11" s="191"/>
      <c r="J11" s="191"/>
      <c r="K11" s="191"/>
      <c r="L11" s="191"/>
      <c r="M11" s="191"/>
      <c r="N11" s="191"/>
      <c r="O11" s="191"/>
      <c r="P11" s="191"/>
      <c r="Q11" s="191"/>
      <c r="R11" s="191"/>
    </row>
    <row r="12" spans="1:18" x14ac:dyDescent="0.3">
      <c r="B12" t="s">
        <v>213</v>
      </c>
    </row>
    <row r="13" spans="1:18" x14ac:dyDescent="0.3">
      <c r="B13" t="s">
        <v>214</v>
      </c>
    </row>
    <row r="14" spans="1:18" x14ac:dyDescent="0.3">
      <c r="B14"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92AA-7D2A-4156-A100-77D7F7043BB0}">
  <dimension ref="B2:AC26"/>
  <sheetViews>
    <sheetView showGridLines="0" zoomScale="85" zoomScaleNormal="85" workbookViewId="0">
      <selection activeCell="M1" sqref="M1"/>
    </sheetView>
  </sheetViews>
  <sheetFormatPr defaultRowHeight="14.4" outlineLevelCol="2" x14ac:dyDescent="0.3"/>
  <cols>
    <col min="2" max="2" width="30.33203125" customWidth="1"/>
    <col min="3" max="3" width="24.109375" customWidth="1"/>
    <col min="4" max="4" width="11.5546875" customWidth="1"/>
    <col min="5" max="5" width="13.21875" customWidth="1"/>
    <col min="6" max="6" width="13.109375" customWidth="1"/>
    <col min="7" max="7" width="19" bestFit="1" customWidth="1"/>
    <col min="8" max="8" width="12.109375" customWidth="1"/>
    <col min="9" max="15" width="8.88671875" outlineLevel="1"/>
    <col min="17" max="17" width="11.44140625" customWidth="1" outlineLevel="2"/>
    <col min="18" max="18" width="11.33203125" customWidth="1" outlineLevel="2"/>
    <col min="19" max="22" width="8.88671875" customWidth="1" outlineLevel="2"/>
    <col min="24" max="29" width="8.88671875" outlineLevel="1"/>
  </cols>
  <sheetData>
    <row r="2" spans="2:29" ht="21" x14ac:dyDescent="0.4">
      <c r="B2" s="23" t="s">
        <v>245</v>
      </c>
      <c r="C2" s="22"/>
      <c r="D2" s="140" t="s">
        <v>67</v>
      </c>
      <c r="E2" s="141">
        <f ca="1">TODAY()</f>
        <v>46055</v>
      </c>
      <c r="F2" s="142"/>
      <c r="G2" s="140" t="s">
        <v>246</v>
      </c>
      <c r="H2" s="143" t="s">
        <v>247</v>
      </c>
      <c r="I2" s="22"/>
      <c r="J2" s="22"/>
      <c r="K2" s="22"/>
      <c r="L2" s="22"/>
      <c r="M2" s="22"/>
      <c r="N2" s="22"/>
      <c r="O2" s="22"/>
      <c r="P2" s="22"/>
      <c r="Q2" s="22"/>
      <c r="R2" s="142"/>
      <c r="S2" s="22"/>
      <c r="T2" s="22"/>
      <c r="U2" s="142"/>
      <c r="V2" s="22"/>
      <c r="W2" s="22"/>
      <c r="X2" s="22"/>
      <c r="Y2" s="22"/>
      <c r="Z2" s="22"/>
      <c r="AA2" s="22"/>
      <c r="AB2" s="22"/>
      <c r="AC2" s="22"/>
    </row>
    <row r="4" spans="2:29" x14ac:dyDescent="0.3">
      <c r="E4" s="144" t="s">
        <v>248</v>
      </c>
      <c r="F4" s="144" t="s">
        <v>248</v>
      </c>
      <c r="G4" s="144" t="s">
        <v>248</v>
      </c>
    </row>
    <row r="5" spans="2:29" ht="17.399999999999999" x14ac:dyDescent="0.3">
      <c r="B5" s="177"/>
      <c r="C5" s="178"/>
      <c r="D5" s="179"/>
      <c r="E5" s="179"/>
      <c r="F5" s="179"/>
      <c r="G5" s="179"/>
      <c r="H5" s="179"/>
      <c r="I5" s="179"/>
      <c r="J5" s="179"/>
      <c r="K5" s="179"/>
      <c r="L5" s="179"/>
      <c r="M5" s="179"/>
      <c r="N5" s="179"/>
      <c r="O5" s="179"/>
      <c r="P5" s="179"/>
      <c r="Q5" s="179"/>
      <c r="R5" s="179"/>
      <c r="S5" s="179"/>
      <c r="T5" s="179"/>
      <c r="U5" s="179"/>
      <c r="V5" s="179"/>
      <c r="W5" s="179"/>
      <c r="X5" s="180" t="s">
        <v>68</v>
      </c>
      <c r="Y5" s="180"/>
      <c r="Z5" s="180"/>
      <c r="AA5" s="180"/>
      <c r="AB5" s="180"/>
      <c r="AC5" s="180"/>
    </row>
    <row r="6" spans="2:29" ht="17.399999999999999" x14ac:dyDescent="0.3">
      <c r="B6" s="177"/>
      <c r="C6" s="177"/>
      <c r="D6" s="179" t="s">
        <v>71</v>
      </c>
      <c r="E6" s="179" t="s">
        <v>249</v>
      </c>
      <c r="F6" s="179" t="s">
        <v>70</v>
      </c>
      <c r="G6" s="179" t="s">
        <v>69</v>
      </c>
      <c r="H6" s="180"/>
      <c r="I6" s="180" t="s">
        <v>96</v>
      </c>
      <c r="J6" s="180"/>
      <c r="K6" s="180"/>
      <c r="L6" s="180" t="s">
        <v>36</v>
      </c>
      <c r="M6" s="180"/>
      <c r="N6" s="180" t="s">
        <v>32</v>
      </c>
      <c r="O6" s="180"/>
      <c r="P6" s="179"/>
      <c r="Q6" s="180" t="s">
        <v>73</v>
      </c>
      <c r="R6" s="180"/>
      <c r="S6" s="180" t="s">
        <v>74</v>
      </c>
      <c r="T6" s="180"/>
      <c r="U6" s="180" t="s">
        <v>75</v>
      </c>
      <c r="V6" s="180"/>
      <c r="W6" s="179"/>
      <c r="X6" s="180" t="s">
        <v>76</v>
      </c>
      <c r="Y6" s="180"/>
      <c r="Z6" s="180" t="s">
        <v>77</v>
      </c>
      <c r="AA6" s="180"/>
      <c r="AB6" s="180" t="s">
        <v>78</v>
      </c>
      <c r="AC6" s="180"/>
    </row>
    <row r="7" spans="2:29" ht="15.6" x14ac:dyDescent="0.3">
      <c r="B7" s="181" t="s">
        <v>79</v>
      </c>
      <c r="C7" s="181" t="s">
        <v>80</v>
      </c>
      <c r="D7" s="182" t="s">
        <v>72</v>
      </c>
      <c r="E7" s="182" t="s">
        <v>250</v>
      </c>
      <c r="F7" s="182" t="s">
        <v>82</v>
      </c>
      <c r="G7" s="182" t="s">
        <v>81</v>
      </c>
      <c r="H7" s="183"/>
      <c r="I7" s="183">
        <v>2025</v>
      </c>
      <c r="J7" s="183">
        <f>I7-1</f>
        <v>2024</v>
      </c>
      <c r="K7" s="183">
        <f>J7-1</f>
        <v>2023</v>
      </c>
      <c r="L7" s="183">
        <f>J7</f>
        <v>2024</v>
      </c>
      <c r="M7" s="183">
        <f>K7</f>
        <v>2023</v>
      </c>
      <c r="N7" s="183">
        <f>L7</f>
        <v>2024</v>
      </c>
      <c r="O7" s="183">
        <f>M7</f>
        <v>2023</v>
      </c>
      <c r="P7" s="182"/>
      <c r="Q7" s="183" t="str">
        <f>_xlfn.CONCAT(I7,"-",J7)</f>
        <v>2025-2024</v>
      </c>
      <c r="R7" s="183" t="str">
        <f>_xlfn.CONCAT(J7,"-",K7)</f>
        <v>2024-2023</v>
      </c>
      <c r="S7" s="183">
        <f>J7</f>
        <v>2024</v>
      </c>
      <c r="T7" s="183">
        <f>K7</f>
        <v>2023</v>
      </c>
      <c r="U7" s="183">
        <f>S7</f>
        <v>2024</v>
      </c>
      <c r="V7" s="183">
        <f>T7</f>
        <v>2023</v>
      </c>
      <c r="W7" s="183"/>
      <c r="X7" s="183">
        <f>J7</f>
        <v>2024</v>
      </c>
      <c r="Y7" s="183">
        <f>K7</f>
        <v>2023</v>
      </c>
      <c r="Z7" s="183">
        <f>J7</f>
        <v>2024</v>
      </c>
      <c r="AA7" s="183">
        <f>K7</f>
        <v>2023</v>
      </c>
      <c r="AB7" s="183">
        <f>J7</f>
        <v>2024</v>
      </c>
      <c r="AC7" s="183">
        <f>K7</f>
        <v>2023</v>
      </c>
    </row>
    <row r="8" spans="2:29" ht="15.6" x14ac:dyDescent="0.3">
      <c r="B8" s="145"/>
      <c r="C8" s="145"/>
      <c r="D8" s="146"/>
      <c r="E8" s="146"/>
      <c r="F8" s="146"/>
      <c r="G8" s="146"/>
      <c r="H8" s="146"/>
      <c r="I8" s="146"/>
      <c r="J8" s="146"/>
      <c r="K8" s="146"/>
      <c r="L8" s="146"/>
      <c r="M8" s="146"/>
      <c r="N8" s="146"/>
      <c r="O8" s="146"/>
      <c r="P8" s="146"/>
      <c r="Q8" s="147"/>
      <c r="R8" s="147"/>
      <c r="S8" s="147"/>
      <c r="T8" s="147"/>
      <c r="U8" s="147"/>
      <c r="V8" s="147"/>
      <c r="W8" s="147"/>
      <c r="X8" s="147"/>
      <c r="Y8" s="147"/>
      <c r="Z8" s="147"/>
      <c r="AA8" s="147"/>
      <c r="AB8" s="147"/>
      <c r="AC8" s="147"/>
    </row>
    <row r="9" spans="2:29" ht="15.6" x14ac:dyDescent="0.3">
      <c r="B9" s="148" t="e" vm="1">
        <v>#VALUE!</v>
      </c>
      <c r="C9" s="102" t="str" cm="1">
        <f t="array" aca="1" ref="C9" ca="1">_FV(B9,"Ticker symbol",TRUE)</f>
        <v>SBIN</v>
      </c>
      <c r="D9" s="149" cm="1">
        <f t="array" aca="1" ref="D9" ca="1">_FV(B9,"Price")</f>
        <v>1018.2</v>
      </c>
      <c r="E9" s="150" cm="1">
        <f t="array" aca="1" ref="E9" ca="1">_FV(B9,"Shares outstanding",TRUE)/10000000</f>
        <v>923.06169999999997</v>
      </c>
      <c r="F9" s="173">
        <v>2001956.74</v>
      </c>
      <c r="G9" s="151" cm="1">
        <f t="array" aca="1" ref="G9" ca="1">_FV(B9,"Market cap",TRUE)/10000000</f>
        <v>949322.9</v>
      </c>
      <c r="H9" s="152" t="str">
        <f ca="1">HYPERLINK("https://www.screener.in/company/"&amp;SUBSTITUTE(C9," ","")&amp;"/consolidated/","Financials")</f>
        <v>Financials</v>
      </c>
      <c r="I9" s="175">
        <v>490938</v>
      </c>
      <c r="J9" s="175">
        <v>439189</v>
      </c>
      <c r="K9" s="175">
        <v>350845</v>
      </c>
      <c r="L9" s="175">
        <v>132005.42000000001</v>
      </c>
      <c r="M9" s="175">
        <v>135923.75</v>
      </c>
      <c r="N9" s="175">
        <v>100817.87</v>
      </c>
      <c r="O9" s="175">
        <v>104209.94</v>
      </c>
      <c r="P9" s="153"/>
      <c r="Q9" s="153">
        <f>J9/I9-1</f>
        <v>-0.1054084222447641</v>
      </c>
      <c r="R9" s="153">
        <f>K9/J9-1</f>
        <v>-0.20115257895803407</v>
      </c>
      <c r="S9" s="153">
        <f>L9/J9</f>
        <v>0.30056631655164406</v>
      </c>
      <c r="T9" s="153">
        <f>M9/K9</f>
        <v>0.38741823312288903</v>
      </c>
      <c r="U9" s="153">
        <f>N9/J9</f>
        <v>0.22955463365430373</v>
      </c>
      <c r="V9" s="153">
        <f>O9/K9</f>
        <v>0.29702558109706567</v>
      </c>
      <c r="W9" s="153"/>
      <c r="X9" s="154">
        <f>$F9/J9</f>
        <v>4.5583034638845694</v>
      </c>
      <c r="Y9" s="154">
        <f>$F9/K9</f>
        <v>5.7061002436973594</v>
      </c>
      <c r="Z9" s="154">
        <f>$F9/L9</f>
        <v>15.165716225894359</v>
      </c>
      <c r="AA9" s="154">
        <f>$F9/M9</f>
        <v>14.728527869485649</v>
      </c>
      <c r="AB9" s="154">
        <f ca="1">$G9/N9</f>
        <v>9.4162165893804346</v>
      </c>
      <c r="AC9" s="154">
        <f ca="1">$G9/O9</f>
        <v>9.109715445570739</v>
      </c>
    </row>
    <row r="10" spans="2:29" ht="15.6" x14ac:dyDescent="0.3">
      <c r="B10" s="148"/>
      <c r="D10" s="24"/>
      <c r="E10" s="155"/>
      <c r="F10" s="155"/>
      <c r="G10" s="155"/>
      <c r="H10" s="156"/>
      <c r="I10" s="157"/>
      <c r="J10" s="157"/>
      <c r="K10" s="157"/>
      <c r="L10" s="157"/>
      <c r="M10" s="157"/>
      <c r="N10" s="157"/>
      <c r="O10" s="157"/>
      <c r="P10" s="158"/>
      <c r="Q10" s="158"/>
      <c r="R10" s="158"/>
      <c r="S10" s="158"/>
      <c r="T10" s="158"/>
      <c r="U10" s="158"/>
      <c r="V10" s="158"/>
      <c r="W10" s="158"/>
      <c r="X10" s="159"/>
      <c r="Y10" s="159"/>
      <c r="Z10" s="159"/>
      <c r="AA10" s="159"/>
      <c r="AB10" s="159"/>
      <c r="AC10" s="159"/>
    </row>
    <row r="11" spans="2:29" ht="15.6" x14ac:dyDescent="0.3">
      <c r="B11" s="148" t="e" vm="2">
        <v>#VALUE!</v>
      </c>
      <c r="C11" t="str" cm="1">
        <f t="array" aca="1" ref="C11" ca="1">_FV(B11,"Ticker symbol",TRUE)</f>
        <v>HDFCBANK</v>
      </c>
      <c r="D11" s="160" cm="1">
        <f t="array" aca="1" ref="D11" ca="1">_FV(B11,"Price")</f>
        <v>922.1</v>
      </c>
      <c r="E11" s="155" cm="1">
        <f t="array" aca="1" ref="E11" ca="1">_FV(B11,"Shares outstanding",TRUE)/10000000</f>
        <v>1538.68</v>
      </c>
      <c r="F11" s="174"/>
      <c r="G11" s="161" cm="1">
        <f t="array" aca="1" ref="G11" ca="1">_FV(B11,"Market cap",TRUE)/10000000</f>
        <v>1442067</v>
      </c>
      <c r="H11" s="162" t="str">
        <f t="shared" ref="H11:H21" ca="1" si="0">HYPERLINK("https://www.screener.in/company/"&amp;SUBSTITUTE(C11," ","")&amp;"/consolidated/","Financials")</f>
        <v>Financials</v>
      </c>
      <c r="I11" s="176"/>
      <c r="J11" s="176"/>
      <c r="K11" s="176"/>
      <c r="L11" s="176"/>
      <c r="M11" s="176"/>
      <c r="N11" s="176"/>
      <c r="O11" s="176"/>
      <c r="P11" s="163"/>
      <c r="Q11" s="163" t="e">
        <f>J11/I11-1</f>
        <v>#DIV/0!</v>
      </c>
      <c r="R11" s="163" t="e">
        <f>K11/J11-1</f>
        <v>#DIV/0!</v>
      </c>
      <c r="S11" s="163" t="e">
        <f t="shared" ref="S11:T18" si="1">L11/J11</f>
        <v>#DIV/0!</v>
      </c>
      <c r="T11" s="163" t="e">
        <f t="shared" si="1"/>
        <v>#DIV/0!</v>
      </c>
      <c r="U11" s="163" t="e">
        <f t="shared" ref="U11:V18" si="2">N11/J11</f>
        <v>#DIV/0!</v>
      </c>
      <c r="V11" s="163" t="e">
        <f t="shared" si="2"/>
        <v>#DIV/0!</v>
      </c>
      <c r="W11" s="163"/>
      <c r="X11" s="159" t="e">
        <f t="shared" ref="X11:AA12" si="3">$F11/J11</f>
        <v>#DIV/0!</v>
      </c>
      <c r="Y11" s="159" t="e">
        <f t="shared" si="3"/>
        <v>#DIV/0!</v>
      </c>
      <c r="Z11" s="159" t="e">
        <f t="shared" si="3"/>
        <v>#DIV/0!</v>
      </c>
      <c r="AA11" s="159" t="e">
        <f t="shared" si="3"/>
        <v>#DIV/0!</v>
      </c>
      <c r="AB11" s="159" t="e">
        <f ca="1">$G11/N11</f>
        <v>#DIV/0!</v>
      </c>
      <c r="AC11" s="159" t="e">
        <f ca="1">$G11/O11</f>
        <v>#DIV/0!</v>
      </c>
    </row>
    <row r="12" spans="2:29" ht="15.6" x14ac:dyDescent="0.3">
      <c r="B12" s="148" t="e" vm="3">
        <v>#VALUE!</v>
      </c>
      <c r="C12" t="str" cm="1">
        <f t="array" aca="1" ref="C12" ca="1">_FV(B12,"Ticker symbol",TRUE)</f>
        <v>ICICIBANK</v>
      </c>
      <c r="D12" s="160" cm="1">
        <f t="array" aca="1" ref="D12" ca="1">_FV(B12,"Price")</f>
        <v>1334.2</v>
      </c>
      <c r="E12" s="155" cm="1">
        <f t="array" aca="1" ref="E12" ca="1">_FV(B12,"Shares outstanding",TRUE)/10000000</f>
        <v>715.32349999999997</v>
      </c>
      <c r="F12" s="174"/>
      <c r="G12" s="161" cm="1">
        <f t="array" aca="1" ref="G12" ca="1">_FV(B12,"Market cap",TRUE)/10000000</f>
        <v>1027296</v>
      </c>
      <c r="H12" s="162" t="str">
        <f t="shared" ca="1" si="0"/>
        <v>Financials</v>
      </c>
      <c r="I12" s="176"/>
      <c r="J12" s="176"/>
      <c r="K12" s="176"/>
      <c r="L12" s="176"/>
      <c r="M12" s="176"/>
      <c r="N12" s="176"/>
      <c r="O12" s="176"/>
      <c r="P12" s="163"/>
      <c r="Q12" s="163" t="e">
        <f t="shared" ref="Q12:R18" si="4">J12/I12-1</f>
        <v>#DIV/0!</v>
      </c>
      <c r="R12" s="163" t="e">
        <f t="shared" si="4"/>
        <v>#DIV/0!</v>
      </c>
      <c r="S12" s="163" t="e">
        <f t="shared" si="1"/>
        <v>#DIV/0!</v>
      </c>
      <c r="T12" s="163" t="e">
        <f t="shared" si="1"/>
        <v>#DIV/0!</v>
      </c>
      <c r="U12" s="163" t="e">
        <f t="shared" si="2"/>
        <v>#DIV/0!</v>
      </c>
      <c r="V12" s="163" t="e">
        <f t="shared" si="2"/>
        <v>#DIV/0!</v>
      </c>
      <c r="W12" s="163"/>
      <c r="X12" s="159" t="e">
        <f t="shared" si="3"/>
        <v>#DIV/0!</v>
      </c>
      <c r="Y12" s="159" t="e">
        <f t="shared" si="3"/>
        <v>#DIV/0!</v>
      </c>
      <c r="Z12" s="159" t="e">
        <f t="shared" si="3"/>
        <v>#DIV/0!</v>
      </c>
      <c r="AA12" s="159" t="e">
        <f t="shared" si="3"/>
        <v>#DIV/0!</v>
      </c>
      <c r="AB12" s="159" t="e">
        <f ca="1">$G12/N12</f>
        <v>#DIV/0!</v>
      </c>
      <c r="AC12" s="159" t="e">
        <f ca="1">$G12/O12</f>
        <v>#DIV/0!</v>
      </c>
    </row>
    <row r="13" spans="2:29" ht="15.6" x14ac:dyDescent="0.3">
      <c r="B13" s="148" t="e" vm="4">
        <v>#VALUE!</v>
      </c>
      <c r="C13" t="str" cm="1">
        <f t="array" aca="1" ref="C13" ca="1">_FV(B13,"Ticker symbol",TRUE)</f>
        <v>AXISBANK</v>
      </c>
      <c r="D13" s="160" cm="1">
        <f t="array" aca="1" ref="D13" ca="1">_FV(B13,"Price")</f>
        <v>1340.4</v>
      </c>
      <c r="E13" s="155" cm="1">
        <f t="array" aca="1" ref="E13" ca="1">_FV(B13,"Shares outstanding",TRUE)/10000000</f>
        <v>310.54590000000002</v>
      </c>
      <c r="F13" s="174"/>
      <c r="G13" s="161" cm="1">
        <f t="array" aca="1" ref="G13" ca="1">_FV(B13,"Market cap",TRUE)/10000000</f>
        <v>391878.8</v>
      </c>
      <c r="H13" s="162" t="str">
        <f t="shared" ca="1" si="0"/>
        <v>Financials</v>
      </c>
      <c r="I13" s="176"/>
      <c r="J13" s="176"/>
      <c r="K13" s="176"/>
      <c r="L13" s="176"/>
      <c r="M13" s="176"/>
      <c r="N13" s="176"/>
      <c r="O13" s="176"/>
      <c r="P13" s="163"/>
      <c r="Q13" s="163" t="e">
        <f t="shared" si="4"/>
        <v>#DIV/0!</v>
      </c>
      <c r="R13" s="163" t="e">
        <f t="shared" si="4"/>
        <v>#DIV/0!</v>
      </c>
      <c r="S13" s="163" t="e">
        <f t="shared" si="1"/>
        <v>#DIV/0!</v>
      </c>
      <c r="T13" s="163" t="e">
        <f t="shared" si="1"/>
        <v>#DIV/0!</v>
      </c>
      <c r="U13" s="163" t="e">
        <f t="shared" si="2"/>
        <v>#DIV/0!</v>
      </c>
      <c r="V13" s="163" t="e">
        <f t="shared" si="2"/>
        <v>#DIV/0!</v>
      </c>
      <c r="W13" s="163"/>
      <c r="X13" s="159" t="e">
        <f t="shared" ref="X13:X20" si="5">$F13/J13</f>
        <v>#DIV/0!</v>
      </c>
      <c r="Y13" s="159" t="e">
        <f t="shared" ref="Y13:Y20" si="6">$F13/K13</f>
        <v>#DIV/0!</v>
      </c>
      <c r="Z13" s="159" t="e">
        <f t="shared" ref="Z13:Z20" si="7">$F13/L13</f>
        <v>#DIV/0!</v>
      </c>
      <c r="AA13" s="159" t="e">
        <f t="shared" ref="AA13:AA20" si="8">$F13/M13</f>
        <v>#DIV/0!</v>
      </c>
      <c r="AB13" s="159" t="e">
        <f t="shared" ref="AB13:AB20" ca="1" si="9">$G13/N13</f>
        <v>#DIV/0!</v>
      </c>
      <c r="AC13" s="159" t="e">
        <f t="shared" ref="AC13:AC20" ca="1" si="10">$G13/O13</f>
        <v>#DIV/0!</v>
      </c>
    </row>
    <row r="14" spans="2:29" ht="15.6" x14ac:dyDescent="0.3">
      <c r="B14" s="148" t="e" vm="5">
        <v>#VALUE!</v>
      </c>
      <c r="C14" t="str" cm="1">
        <f t="array" aca="1" ref="C14" ca="1">_FV(B14,"Ticker symbol",TRUE)</f>
        <v>KOTAKBANK</v>
      </c>
      <c r="D14" s="160" cm="1">
        <f t="array" aca="1" ref="D14" ca="1">_FV(B14,"Price")</f>
        <v>407.25</v>
      </c>
      <c r="E14" s="155" cm="1">
        <f t="array" aca="1" ref="E14" ca="1">_FV(B14,"Shares outstanding",TRUE)/10000000</f>
        <v>1094.646</v>
      </c>
      <c r="F14" s="174"/>
      <c r="G14" s="161" cm="1">
        <f t="array" aca="1" ref="G14" ca="1">_FV(B14,"Market cap",TRUE)/10000000</f>
        <v>424195.2</v>
      </c>
      <c r="H14" s="162" t="str">
        <f t="shared" ca="1" si="0"/>
        <v>Financials</v>
      </c>
      <c r="I14" s="176"/>
      <c r="J14" s="176"/>
      <c r="K14" s="176"/>
      <c r="L14" s="176"/>
      <c r="M14" s="176"/>
      <c r="N14" s="176"/>
      <c r="O14" s="176"/>
      <c r="P14" s="163"/>
      <c r="Q14" s="163" t="e">
        <f t="shared" si="4"/>
        <v>#DIV/0!</v>
      </c>
      <c r="R14" s="163" t="e">
        <f t="shared" si="4"/>
        <v>#DIV/0!</v>
      </c>
      <c r="S14" s="163" t="e">
        <f t="shared" si="1"/>
        <v>#DIV/0!</v>
      </c>
      <c r="T14" s="163" t="e">
        <f t="shared" si="1"/>
        <v>#DIV/0!</v>
      </c>
      <c r="U14" s="163" t="e">
        <f t="shared" si="2"/>
        <v>#DIV/0!</v>
      </c>
      <c r="V14" s="163" t="e">
        <f t="shared" si="2"/>
        <v>#DIV/0!</v>
      </c>
      <c r="W14" s="163"/>
      <c r="X14" s="159" t="e">
        <f t="shared" si="5"/>
        <v>#DIV/0!</v>
      </c>
      <c r="Y14" s="159" t="e">
        <f t="shared" si="6"/>
        <v>#DIV/0!</v>
      </c>
      <c r="Z14" s="159" t="e">
        <f t="shared" si="7"/>
        <v>#DIV/0!</v>
      </c>
      <c r="AA14" s="159" t="e">
        <f t="shared" si="8"/>
        <v>#DIV/0!</v>
      </c>
      <c r="AB14" s="159" t="e">
        <f t="shared" ca="1" si="9"/>
        <v>#DIV/0!</v>
      </c>
      <c r="AC14" s="159" t="e">
        <f t="shared" ca="1" si="10"/>
        <v>#DIV/0!</v>
      </c>
    </row>
    <row r="15" spans="2:29" ht="15.6" x14ac:dyDescent="0.3">
      <c r="B15" s="148" t="e" vm="6">
        <v>#VALUE!</v>
      </c>
      <c r="C15" t="str" cm="1">
        <f t="array" aca="1" ref="C15" ca="1">_FV(B15,"Ticker symbol",TRUE)</f>
        <v>INDUSINDBK</v>
      </c>
      <c r="D15" s="160" cm="1">
        <f t="array" aca="1" ref="D15" ca="1">_FV(B15,"Price")</f>
        <v>895.6</v>
      </c>
      <c r="E15" s="155" cm="1">
        <f t="array" aca="1" ref="E15" ca="1">_FV(B15,"Shares outstanding",TRUE)/10000000</f>
        <v>77.907600000000002</v>
      </c>
      <c r="F15" s="174"/>
      <c r="G15" s="161" cm="1">
        <f t="array" aca="1" ref="G15" ca="1">_FV(B15,"Market cap",TRUE)/10000000</f>
        <v>70938.759999999995</v>
      </c>
      <c r="H15" s="162" t="str">
        <f t="shared" ca="1" si="0"/>
        <v>Financials</v>
      </c>
      <c r="I15" s="176"/>
      <c r="J15" s="176"/>
      <c r="K15" s="176"/>
      <c r="L15" s="176"/>
      <c r="M15" s="176"/>
      <c r="N15" s="176"/>
      <c r="O15" s="176"/>
      <c r="P15" s="163"/>
      <c r="Q15" s="163" t="e">
        <f t="shared" si="4"/>
        <v>#DIV/0!</v>
      </c>
      <c r="R15" s="163" t="e">
        <f t="shared" si="4"/>
        <v>#DIV/0!</v>
      </c>
      <c r="S15" s="163" t="e">
        <f t="shared" si="1"/>
        <v>#DIV/0!</v>
      </c>
      <c r="T15" s="163" t="e">
        <f t="shared" si="1"/>
        <v>#DIV/0!</v>
      </c>
      <c r="U15" s="163" t="e">
        <f t="shared" si="2"/>
        <v>#DIV/0!</v>
      </c>
      <c r="V15" s="163" t="e">
        <f t="shared" si="2"/>
        <v>#DIV/0!</v>
      </c>
      <c r="W15" s="163"/>
      <c r="X15" s="159" t="e">
        <f t="shared" si="5"/>
        <v>#DIV/0!</v>
      </c>
      <c r="Y15" s="159" t="e">
        <f t="shared" si="6"/>
        <v>#DIV/0!</v>
      </c>
      <c r="Z15" s="159" t="e">
        <f t="shared" si="7"/>
        <v>#DIV/0!</v>
      </c>
      <c r="AA15" s="159" t="e">
        <f t="shared" si="8"/>
        <v>#DIV/0!</v>
      </c>
      <c r="AB15" s="159" t="e">
        <f t="shared" ca="1" si="9"/>
        <v>#DIV/0!</v>
      </c>
      <c r="AC15" s="159" t="e">
        <f t="shared" ca="1" si="10"/>
        <v>#DIV/0!</v>
      </c>
    </row>
    <row r="16" spans="2:29" ht="15.6" x14ac:dyDescent="0.3">
      <c r="B16" s="148" t="e" vm="7">
        <v>#VALUE!</v>
      </c>
      <c r="C16" t="str" cm="1">
        <f t="array" aca="1" ref="C16" ca="1">_FV(B16,"Ticker symbol",TRUE)</f>
        <v>BANKBARODA</v>
      </c>
      <c r="D16" s="160" cm="1">
        <f t="array" aca="1" ref="D16" ca="1">_FV(B16,"Price")</f>
        <v>279.7</v>
      </c>
      <c r="E16" s="155" cm="1">
        <f t="array" aca="1" ref="E16" ca="1">_FV(B16,"Shares outstanding",TRUE)/10000000</f>
        <v>517.13620000000003</v>
      </c>
      <c r="F16" s="174"/>
      <c r="G16" s="161" cm="1">
        <f t="array" aca="1" ref="G16" ca="1">_FV(B16,"Market cap",TRUE)/10000000</f>
        <v>156097.60000000001</v>
      </c>
      <c r="H16" s="162" t="str">
        <f t="shared" ca="1" si="0"/>
        <v>Financials</v>
      </c>
      <c r="I16" s="176"/>
      <c r="J16" s="176"/>
      <c r="K16" s="176"/>
      <c r="L16" s="176"/>
      <c r="M16" s="176"/>
      <c r="N16" s="176"/>
      <c r="O16" s="176"/>
      <c r="P16" s="163"/>
      <c r="Q16" s="163" t="e">
        <f t="shared" si="4"/>
        <v>#DIV/0!</v>
      </c>
      <c r="R16" s="163" t="e">
        <f t="shared" si="4"/>
        <v>#DIV/0!</v>
      </c>
      <c r="S16" s="163" t="e">
        <f t="shared" si="1"/>
        <v>#DIV/0!</v>
      </c>
      <c r="T16" s="163" t="e">
        <f t="shared" si="1"/>
        <v>#DIV/0!</v>
      </c>
      <c r="U16" s="163" t="e">
        <f t="shared" si="2"/>
        <v>#DIV/0!</v>
      </c>
      <c r="V16" s="163" t="e">
        <f t="shared" si="2"/>
        <v>#DIV/0!</v>
      </c>
      <c r="W16" s="163"/>
      <c r="X16" s="159" t="e">
        <f t="shared" si="5"/>
        <v>#DIV/0!</v>
      </c>
      <c r="Y16" s="159" t="e">
        <f t="shared" si="6"/>
        <v>#DIV/0!</v>
      </c>
      <c r="Z16" s="159" t="e">
        <f t="shared" si="7"/>
        <v>#DIV/0!</v>
      </c>
      <c r="AA16" s="159" t="e">
        <f t="shared" si="8"/>
        <v>#DIV/0!</v>
      </c>
      <c r="AB16" s="159" t="e">
        <f t="shared" ca="1" si="9"/>
        <v>#DIV/0!</v>
      </c>
      <c r="AC16" s="159" t="e">
        <f t="shared" ca="1" si="10"/>
        <v>#DIV/0!</v>
      </c>
    </row>
    <row r="17" spans="2:29" ht="15.6" x14ac:dyDescent="0.3">
      <c r="B17" s="148" t="e" vm="8">
        <v>#VALUE!</v>
      </c>
      <c r="C17" t="str" cm="1">
        <f t="array" aca="1" ref="C17" ca="1">_FV(B17,"Ticker symbol",TRUE)</f>
        <v>PNB</v>
      </c>
      <c r="D17" s="160" cm="1">
        <f t="array" aca="1" ref="D17" ca="1">_FV(B17,"Price")</f>
        <v>121.59</v>
      </c>
      <c r="E17" s="155" cm="1">
        <f t="array" aca="1" ref="E17" ca="1">_FV(B17,"Shares outstanding",TRUE)/10000000</f>
        <v>1149.2940000000001</v>
      </c>
      <c r="F17" s="174"/>
      <c r="G17" s="161" cm="1">
        <f t="array" aca="1" ref="G17" ca="1">_FV(B17,"Market cap",TRUE)/10000000</f>
        <v>143110.1</v>
      </c>
      <c r="H17" s="162" t="str">
        <f t="shared" ca="1" si="0"/>
        <v>Financials</v>
      </c>
      <c r="I17" s="176"/>
      <c r="J17" s="176"/>
      <c r="K17" s="176"/>
      <c r="L17" s="176"/>
      <c r="M17" s="176"/>
      <c r="N17" s="176"/>
      <c r="O17" s="176"/>
      <c r="P17" s="163"/>
      <c r="Q17" s="163" t="e">
        <f t="shared" si="4"/>
        <v>#DIV/0!</v>
      </c>
      <c r="R17" s="163" t="e">
        <f t="shared" si="4"/>
        <v>#DIV/0!</v>
      </c>
      <c r="S17" s="163" t="e">
        <f t="shared" si="1"/>
        <v>#DIV/0!</v>
      </c>
      <c r="T17" s="163" t="e">
        <f t="shared" si="1"/>
        <v>#DIV/0!</v>
      </c>
      <c r="U17" s="163" t="e">
        <f t="shared" si="2"/>
        <v>#DIV/0!</v>
      </c>
      <c r="V17" s="163" t="e">
        <f t="shared" si="2"/>
        <v>#DIV/0!</v>
      </c>
      <c r="W17" s="163"/>
      <c r="X17" s="159" t="e">
        <f t="shared" si="5"/>
        <v>#DIV/0!</v>
      </c>
      <c r="Y17" s="159" t="e">
        <f t="shared" si="6"/>
        <v>#DIV/0!</v>
      </c>
      <c r="Z17" s="159" t="e">
        <f t="shared" si="7"/>
        <v>#DIV/0!</v>
      </c>
      <c r="AA17" s="159" t="e">
        <f t="shared" si="8"/>
        <v>#DIV/0!</v>
      </c>
      <c r="AB17" s="159" t="e">
        <f t="shared" ca="1" si="9"/>
        <v>#DIV/0!</v>
      </c>
      <c r="AC17" s="159" t="e">
        <f t="shared" ca="1" si="10"/>
        <v>#DIV/0!</v>
      </c>
    </row>
    <row r="18" spans="2:29" ht="15.6" x14ac:dyDescent="0.3">
      <c r="B18" s="148" t="e" vm="9">
        <v>#VALUE!</v>
      </c>
      <c r="C18" t="str" cm="1">
        <f t="array" aca="1" ref="C18" ca="1">_FV(B18,"Ticker symbol",TRUE)</f>
        <v>CANBK</v>
      </c>
      <c r="D18" s="160" cm="1">
        <f t="array" aca="1" ref="D18" ca="1">_FV(B18,"Price")</f>
        <v>141.05000000000001</v>
      </c>
      <c r="E18" s="155" cm="1">
        <f t="array" aca="1" ref="E18" ca="1">_FV(B18,"Shares outstanding",TRUE)/10000000</f>
        <v>907.06510000000003</v>
      </c>
      <c r="F18" s="174"/>
      <c r="G18" s="161" cm="1">
        <f t="array" aca="1" ref="G18" ca="1">_FV(B18,"Market cap",TRUE)/10000000</f>
        <v>136839.9</v>
      </c>
      <c r="H18" s="162" t="str">
        <f t="shared" ca="1" si="0"/>
        <v>Financials</v>
      </c>
      <c r="I18" s="176"/>
      <c r="J18" s="176"/>
      <c r="K18" s="176"/>
      <c r="L18" s="176"/>
      <c r="M18" s="176"/>
      <c r="N18" s="176"/>
      <c r="O18" s="176"/>
      <c r="P18" s="163"/>
      <c r="Q18" s="163" t="e">
        <f t="shared" si="4"/>
        <v>#DIV/0!</v>
      </c>
      <c r="R18" s="163" t="e">
        <f t="shared" si="4"/>
        <v>#DIV/0!</v>
      </c>
      <c r="S18" s="163" t="e">
        <f t="shared" si="1"/>
        <v>#DIV/0!</v>
      </c>
      <c r="T18" s="163" t="e">
        <f t="shared" si="1"/>
        <v>#DIV/0!</v>
      </c>
      <c r="U18" s="163" t="e">
        <f t="shared" si="2"/>
        <v>#DIV/0!</v>
      </c>
      <c r="V18" s="163" t="e">
        <f t="shared" si="2"/>
        <v>#DIV/0!</v>
      </c>
      <c r="W18" s="163"/>
      <c r="X18" s="159" t="e">
        <f t="shared" si="5"/>
        <v>#DIV/0!</v>
      </c>
      <c r="Y18" s="159" t="e">
        <f t="shared" si="6"/>
        <v>#DIV/0!</v>
      </c>
      <c r="Z18" s="159" t="e">
        <f t="shared" si="7"/>
        <v>#DIV/0!</v>
      </c>
      <c r="AA18" s="159" t="e">
        <f t="shared" si="8"/>
        <v>#DIV/0!</v>
      </c>
      <c r="AB18" s="159" t="e">
        <f t="shared" ca="1" si="9"/>
        <v>#DIV/0!</v>
      </c>
      <c r="AC18" s="159" t="e">
        <f t="shared" ca="1" si="10"/>
        <v>#DIV/0!</v>
      </c>
    </row>
    <row r="19" spans="2:29" ht="15.6" x14ac:dyDescent="0.3">
      <c r="B19" s="148" t="e" vm="10">
        <v>#VALUE!</v>
      </c>
      <c r="C19" t="str" cm="1">
        <f t="array" aca="1" ref="C19" ca="1">_FV(B19,"Ticker symbol",TRUE)</f>
        <v>UNIONBANK</v>
      </c>
      <c r="D19" s="160" cm="1">
        <f t="array" aca="1" ref="D19" ca="1">_FV(B19,"Price")</f>
        <v>169.37</v>
      </c>
      <c r="E19" s="155" cm="1">
        <f t="array" aca="1" ref="E19" ca="1">_FV(B19,"Shares outstanding",TRUE)/10000000</f>
        <v>763.3605</v>
      </c>
      <c r="F19" s="174"/>
      <c r="G19" s="161" cm="1">
        <f t="array" aca="1" ref="G19" ca="1">_FV(B19,"Market cap",TRUE)/10000000</f>
        <v>126862.9</v>
      </c>
      <c r="H19" s="162" t="str">
        <f t="shared" ca="1" si="0"/>
        <v>Financials</v>
      </c>
      <c r="I19" s="176"/>
      <c r="J19" s="176"/>
      <c r="K19" s="176"/>
      <c r="L19" s="176"/>
      <c r="M19" s="176"/>
      <c r="N19" s="176"/>
      <c r="O19" s="176"/>
      <c r="P19" s="163"/>
      <c r="Q19" s="163" t="e">
        <f t="shared" ref="Q19:Q21" si="11">J19/I19-1</f>
        <v>#DIV/0!</v>
      </c>
      <c r="R19" s="163" t="e">
        <f t="shared" ref="R19:R21" si="12">K19/J19-1</f>
        <v>#DIV/0!</v>
      </c>
      <c r="S19" s="163" t="e">
        <f t="shared" ref="S19:S21" si="13">L19/J19</f>
        <v>#DIV/0!</v>
      </c>
      <c r="T19" s="163" t="e">
        <f t="shared" ref="T19:T21" si="14">M19/K19</f>
        <v>#DIV/0!</v>
      </c>
      <c r="U19" s="163" t="e">
        <f t="shared" ref="U19:U21" si="15">N19/J19</f>
        <v>#DIV/0!</v>
      </c>
      <c r="V19" s="163" t="e">
        <f t="shared" ref="V19:V21" si="16">O19/K19</f>
        <v>#DIV/0!</v>
      </c>
      <c r="W19" s="163"/>
      <c r="X19" s="159" t="e">
        <f t="shared" si="5"/>
        <v>#DIV/0!</v>
      </c>
      <c r="Y19" s="159" t="e">
        <f t="shared" si="6"/>
        <v>#DIV/0!</v>
      </c>
      <c r="Z19" s="159" t="e">
        <f t="shared" si="7"/>
        <v>#DIV/0!</v>
      </c>
      <c r="AA19" s="159" t="e">
        <f t="shared" si="8"/>
        <v>#DIV/0!</v>
      </c>
      <c r="AB19" s="159" t="e">
        <f t="shared" ca="1" si="9"/>
        <v>#DIV/0!</v>
      </c>
      <c r="AC19" s="159" t="e">
        <f t="shared" ca="1" si="10"/>
        <v>#DIV/0!</v>
      </c>
    </row>
    <row r="20" spans="2:29" ht="15.6" x14ac:dyDescent="0.3">
      <c r="B20" s="148" t="e" vm="11">
        <v>#VALUE!</v>
      </c>
      <c r="C20" t="str" cm="1">
        <f t="array" aca="1" ref="C20" ca="1">_FV(B20,"Ticker symbol",TRUE)</f>
        <v>FEDERALBNK</v>
      </c>
      <c r="D20" s="160" cm="1">
        <f t="array" aca="1" ref="D20" ca="1">_FV(B20,"Price")</f>
        <v>285.10000000000002</v>
      </c>
      <c r="E20" s="155" cm="1">
        <f t="array" aca="1" ref="E20" ca="1">_FV(B20,"Shares outstanding",TRUE)/10000000</f>
        <v>246.28129999999999</v>
      </c>
      <c r="F20" s="174"/>
      <c r="G20" s="161" cm="1">
        <f t="array" aca="1" ref="G20" ca="1">_FV(B20,"Market cap",TRUE)/10000000</f>
        <v>61385.75</v>
      </c>
      <c r="H20" s="162" t="str">
        <f t="shared" ca="1" si="0"/>
        <v>Financials</v>
      </c>
      <c r="I20" s="176"/>
      <c r="J20" s="176"/>
      <c r="K20" s="176"/>
      <c r="L20" s="176"/>
      <c r="M20" s="176"/>
      <c r="N20" s="176"/>
      <c r="O20" s="176"/>
      <c r="P20" s="163"/>
      <c r="Q20" s="163" t="e">
        <f t="shared" si="11"/>
        <v>#DIV/0!</v>
      </c>
      <c r="R20" s="163" t="e">
        <f t="shared" si="12"/>
        <v>#DIV/0!</v>
      </c>
      <c r="S20" s="163" t="e">
        <f t="shared" si="13"/>
        <v>#DIV/0!</v>
      </c>
      <c r="T20" s="163" t="e">
        <f t="shared" si="14"/>
        <v>#DIV/0!</v>
      </c>
      <c r="U20" s="163" t="e">
        <f t="shared" si="15"/>
        <v>#DIV/0!</v>
      </c>
      <c r="V20" s="163" t="e">
        <f t="shared" si="16"/>
        <v>#DIV/0!</v>
      </c>
      <c r="W20" s="163"/>
      <c r="X20" s="159" t="e">
        <f t="shared" si="5"/>
        <v>#DIV/0!</v>
      </c>
      <c r="Y20" s="159" t="e">
        <f t="shared" si="6"/>
        <v>#DIV/0!</v>
      </c>
      <c r="Z20" s="159" t="e">
        <f t="shared" si="7"/>
        <v>#DIV/0!</v>
      </c>
      <c r="AA20" s="159" t="e">
        <f t="shared" si="8"/>
        <v>#DIV/0!</v>
      </c>
      <c r="AB20" s="159" t="e">
        <f t="shared" ca="1" si="9"/>
        <v>#DIV/0!</v>
      </c>
      <c r="AC20" s="159" t="e">
        <f t="shared" ca="1" si="10"/>
        <v>#DIV/0!</v>
      </c>
    </row>
    <row r="21" spans="2:29" ht="15.6" x14ac:dyDescent="0.3">
      <c r="B21" s="148" t="e" vm="12">
        <v>#VALUE!</v>
      </c>
      <c r="C21" t="str" cm="1">
        <f t="array" aca="1" ref="C21" ca="1">_FV(B21,"Ticker symbol",TRUE)</f>
        <v>IDFCFIRSTB</v>
      </c>
      <c r="D21" s="160" cm="1">
        <f t="array" aca="1" ref="D21" ca="1">_FV(B21,"Price")</f>
        <v>82.03</v>
      </c>
      <c r="E21" s="155" cm="1">
        <f t="array" aca="1" ref="E21" ca="1">_FV(B21,"Shares outstanding",TRUE)/10000000</f>
        <v>859.77449999999999</v>
      </c>
      <c r="F21" s="174"/>
      <c r="G21" s="161" cm="1">
        <f t="array" aca="1" ref="G21" ca="1">_FV(B21,"Market cap",TRUE)/10000000</f>
        <v>71317.84</v>
      </c>
      <c r="H21" s="162" t="str">
        <f t="shared" ca="1" si="0"/>
        <v>Financials</v>
      </c>
      <c r="I21" s="176"/>
      <c r="J21" s="176"/>
      <c r="K21" s="176"/>
      <c r="L21" s="176"/>
      <c r="M21" s="176"/>
      <c r="N21" s="176"/>
      <c r="O21" s="176"/>
      <c r="P21" s="163"/>
      <c r="Q21" s="163" t="e">
        <f t="shared" si="11"/>
        <v>#DIV/0!</v>
      </c>
      <c r="R21" s="163" t="e">
        <f t="shared" si="12"/>
        <v>#DIV/0!</v>
      </c>
      <c r="S21" s="163" t="e">
        <f t="shared" si="13"/>
        <v>#DIV/0!</v>
      </c>
      <c r="T21" s="163" t="e">
        <f t="shared" si="14"/>
        <v>#DIV/0!</v>
      </c>
      <c r="U21" s="163" t="e">
        <f t="shared" si="15"/>
        <v>#DIV/0!</v>
      </c>
      <c r="V21" s="163" t="e">
        <f t="shared" si="16"/>
        <v>#DIV/0!</v>
      </c>
      <c r="W21" s="163"/>
      <c r="X21" s="159" t="e">
        <f t="shared" ref="X21" si="17">$F21/J21</f>
        <v>#DIV/0!</v>
      </c>
      <c r="Y21" s="159" t="e">
        <f t="shared" ref="Y21" si="18">$F21/K21</f>
        <v>#DIV/0!</v>
      </c>
      <c r="Z21" s="159" t="e">
        <f t="shared" ref="Z21" si="19">$F21/L21</f>
        <v>#DIV/0!</v>
      </c>
      <c r="AA21" s="159" t="e">
        <f t="shared" ref="AA21" si="20">$F21/M21</f>
        <v>#DIV/0!</v>
      </c>
      <c r="AB21" s="159" t="e">
        <f t="shared" ref="AB21" ca="1" si="21">$G21/N21</f>
        <v>#DIV/0!</v>
      </c>
      <c r="AC21" s="159" t="e">
        <f t="shared" ref="AC21" ca="1" si="22">$G21/O21</f>
        <v>#DIV/0!</v>
      </c>
    </row>
    <row r="22" spans="2:29" x14ac:dyDescent="0.3">
      <c r="C22" s="164"/>
      <c r="D22" s="24"/>
      <c r="E22" s="155"/>
      <c r="F22" s="155"/>
      <c r="G22" s="155"/>
      <c r="I22" s="155"/>
      <c r="J22" s="155"/>
      <c r="K22" s="155"/>
      <c r="L22" s="155"/>
      <c r="M22" s="155"/>
      <c r="N22" s="155"/>
      <c r="O22" s="155"/>
      <c r="P22" s="163"/>
      <c r="Q22" s="163"/>
      <c r="R22" s="163"/>
      <c r="S22" s="163"/>
      <c r="T22" s="163"/>
      <c r="U22" s="163"/>
      <c r="V22" s="163"/>
      <c r="W22" s="163"/>
      <c r="X22" s="159"/>
      <c r="Y22" s="159"/>
      <c r="Z22" s="159"/>
      <c r="AA22" s="159"/>
      <c r="AB22" s="159"/>
      <c r="AC22" s="159"/>
    </row>
    <row r="23" spans="2:29" ht="15.6" x14ac:dyDescent="0.3">
      <c r="B23" s="165" t="s">
        <v>83</v>
      </c>
      <c r="C23" s="166"/>
      <c r="D23" s="166"/>
      <c r="E23" s="166"/>
      <c r="F23" s="166"/>
      <c r="G23" s="166"/>
      <c r="H23" s="167"/>
      <c r="I23" s="167"/>
      <c r="J23" s="167"/>
      <c r="K23" s="167"/>
      <c r="L23" s="167"/>
      <c r="M23" s="167"/>
      <c r="N23" s="167"/>
      <c r="O23" s="167"/>
      <c r="P23" s="167"/>
      <c r="Q23" s="167" t="e">
        <f>AVERAGE(Q11:Q21)</f>
        <v>#DIV/0!</v>
      </c>
      <c r="R23" s="167" t="e">
        <f t="shared" ref="R23:AC23" si="23">AVERAGE(R11:R21)</f>
        <v>#DIV/0!</v>
      </c>
      <c r="S23" s="167" t="e">
        <f t="shared" si="23"/>
        <v>#DIV/0!</v>
      </c>
      <c r="T23" s="167" t="e">
        <f t="shared" si="23"/>
        <v>#DIV/0!</v>
      </c>
      <c r="U23" s="167" t="e">
        <f t="shared" si="23"/>
        <v>#DIV/0!</v>
      </c>
      <c r="V23" s="167" t="e">
        <f t="shared" si="23"/>
        <v>#DIV/0!</v>
      </c>
      <c r="W23" s="167"/>
      <c r="X23" s="167" t="e">
        <f t="shared" si="23"/>
        <v>#DIV/0!</v>
      </c>
      <c r="Y23" s="167" t="e">
        <f t="shared" si="23"/>
        <v>#DIV/0!</v>
      </c>
      <c r="Z23" s="167" t="e">
        <f t="shared" si="23"/>
        <v>#DIV/0!</v>
      </c>
      <c r="AA23" s="167" t="e">
        <f t="shared" si="23"/>
        <v>#DIV/0!</v>
      </c>
      <c r="AB23" s="167" t="e">
        <f t="shared" ca="1" si="23"/>
        <v>#DIV/0!</v>
      </c>
      <c r="AC23" s="167" t="e">
        <f t="shared" ca="1" si="23"/>
        <v>#DIV/0!</v>
      </c>
    </row>
    <row r="24" spans="2:29" ht="15.6" x14ac:dyDescent="0.3">
      <c r="B24" s="168" t="s">
        <v>84</v>
      </c>
      <c r="C24" s="169"/>
      <c r="D24" s="169"/>
      <c r="E24" s="169"/>
      <c r="F24" s="169"/>
      <c r="G24" s="169"/>
      <c r="H24" s="170"/>
      <c r="I24" s="170"/>
      <c r="J24" s="170"/>
      <c r="K24" s="170"/>
      <c r="L24" s="170"/>
      <c r="M24" s="170"/>
      <c r="N24" s="170"/>
      <c r="O24" s="170"/>
      <c r="P24" s="170"/>
      <c r="Q24" s="170" t="e">
        <f>MEDIAN(Q11:Q21)</f>
        <v>#DIV/0!</v>
      </c>
      <c r="R24" s="170" t="e">
        <f t="shared" ref="R24:AC24" si="24">MEDIAN(R11:R21)</f>
        <v>#DIV/0!</v>
      </c>
      <c r="S24" s="170" t="e">
        <f t="shared" si="24"/>
        <v>#DIV/0!</v>
      </c>
      <c r="T24" s="170" t="e">
        <f t="shared" si="24"/>
        <v>#DIV/0!</v>
      </c>
      <c r="U24" s="170" t="e">
        <f t="shared" si="24"/>
        <v>#DIV/0!</v>
      </c>
      <c r="V24" s="170" t="e">
        <f t="shared" si="24"/>
        <v>#DIV/0!</v>
      </c>
      <c r="W24" s="170"/>
      <c r="X24" s="170" t="e">
        <f t="shared" si="24"/>
        <v>#DIV/0!</v>
      </c>
      <c r="Y24" s="170" t="e">
        <f t="shared" si="24"/>
        <v>#DIV/0!</v>
      </c>
      <c r="Z24" s="170" t="e">
        <f t="shared" si="24"/>
        <v>#DIV/0!</v>
      </c>
      <c r="AA24" s="170" t="e">
        <f t="shared" si="24"/>
        <v>#DIV/0!</v>
      </c>
      <c r="AB24" s="170" t="e">
        <f t="shared" ca="1" si="24"/>
        <v>#DIV/0!</v>
      </c>
      <c r="AC24" s="170" t="e">
        <f t="shared" ca="1" si="24"/>
        <v>#DIV/0!</v>
      </c>
    </row>
    <row r="25" spans="2:29" ht="15.6" x14ac:dyDescent="0.3">
      <c r="B25" s="145"/>
      <c r="C25" s="145"/>
      <c r="D25" s="146"/>
      <c r="E25" s="146"/>
      <c r="F25" s="146"/>
      <c r="G25" s="146"/>
      <c r="I25" s="146"/>
      <c r="J25" s="146"/>
      <c r="K25" s="146"/>
      <c r="L25" s="146"/>
      <c r="M25" s="146"/>
      <c r="N25" s="146"/>
      <c r="O25" s="146"/>
      <c r="P25" s="146"/>
      <c r="Q25" s="147"/>
      <c r="R25" s="147"/>
      <c r="S25" s="147"/>
      <c r="T25" s="147"/>
      <c r="U25" s="147"/>
      <c r="V25" s="147"/>
      <c r="W25" s="147"/>
      <c r="X25" s="147"/>
      <c r="Y25" s="147"/>
      <c r="Z25" s="147"/>
      <c r="AA25" s="147"/>
      <c r="AB25" s="147"/>
      <c r="AC25" s="147"/>
    </row>
    <row r="26" spans="2:29" ht="15.6" x14ac:dyDescent="0.3">
      <c r="B26" s="139" t="s">
        <v>244</v>
      </c>
      <c r="C26" s="145"/>
      <c r="D26" s="171"/>
      <c r="E26" s="171"/>
      <c r="F26" s="171"/>
      <c r="G26" s="146"/>
      <c r="H26" s="24"/>
      <c r="I26" s="155"/>
      <c r="J26" s="155"/>
      <c r="K26" s="155"/>
      <c r="L26" s="155"/>
      <c r="M26" s="155"/>
      <c r="N26" s="155"/>
      <c r="P26" s="155"/>
      <c r="Q26" s="155"/>
      <c r="R26" s="172"/>
      <c r="U26" s="147"/>
      <c r="V26" s="147"/>
      <c r="W26" s="147"/>
      <c r="X26" s="147"/>
      <c r="Y26" s="147"/>
      <c r="Z26" s="147"/>
      <c r="AA26" s="147"/>
      <c r="AB26" s="147"/>
      <c r="AC26" s="147"/>
    </row>
  </sheetData>
  <conditionalFormatting sqref="H9:H21">
    <cfRule type="colorScale" priority="1">
      <colorScale>
        <cfvo type="min"/>
        <cfvo type="percentile" val="50"/>
        <cfvo type="max"/>
        <color rgb="FFF8696B"/>
        <color rgb="FFFFEB84"/>
        <color rgb="FF63BE7B"/>
      </colorScale>
    </cfRule>
    <cfRule type="colorScale" priority="2">
      <colorScale>
        <cfvo type="min"/>
        <cfvo type="percentile" val="50"/>
        <cfvo type="max"/>
        <color rgb="FF63BE7B"/>
        <color rgb="FFFFEB84"/>
        <color rgb="FFF8696B"/>
      </colorScale>
    </cfRule>
  </conditionalFormatting>
  <conditionalFormatting sqref="P11:P16 P18:P22">
    <cfRule type="colorScale" priority="5">
      <colorScale>
        <cfvo type="min"/>
        <cfvo type="percentile" val="50"/>
        <cfvo type="max"/>
        <color rgb="FFF8696B"/>
        <color rgb="FFFFEB84"/>
        <color rgb="FF63BE7B"/>
      </colorScale>
    </cfRule>
    <cfRule type="colorScale" priority="6">
      <colorScale>
        <cfvo type="min"/>
        <cfvo type="percentile" val="50"/>
        <cfvo type="max"/>
        <color rgb="FF63BE7B"/>
        <color rgb="FFFFEB84"/>
        <color rgb="FFF8696B"/>
      </colorScale>
    </cfRule>
  </conditionalFormatting>
  <conditionalFormatting sqref="P17">
    <cfRule type="colorScale" priority="3">
      <colorScale>
        <cfvo type="min"/>
        <cfvo type="percentile" val="50"/>
        <cfvo type="max"/>
        <color rgb="FFF8696B"/>
        <color rgb="FFFFEB84"/>
        <color rgb="FF63BE7B"/>
      </colorScale>
    </cfRule>
    <cfRule type="colorScale" priority="4">
      <colorScale>
        <cfvo type="min"/>
        <cfvo type="percentile" val="50"/>
        <cfvo type="max"/>
        <color rgb="FF63BE7B"/>
        <color rgb="FFFFEB84"/>
        <color rgb="FFF8696B"/>
      </colorScale>
    </cfRule>
  </conditionalFormatting>
  <conditionalFormatting sqref="Q9:Q22">
    <cfRule type="colorScale" priority="7">
      <colorScale>
        <cfvo type="min"/>
        <cfvo type="percentile" val="50"/>
        <cfvo type="max"/>
        <color rgb="FFF8696B"/>
        <color rgb="FFFFEB84"/>
        <color rgb="FF63BE7B"/>
      </colorScale>
    </cfRule>
  </conditionalFormatting>
  <conditionalFormatting sqref="R9:R22">
    <cfRule type="colorScale" priority="8">
      <colorScale>
        <cfvo type="min"/>
        <cfvo type="percentile" val="50"/>
        <cfvo type="max"/>
        <color rgb="FFF8696B"/>
        <color rgb="FFFFEB84"/>
        <color rgb="FF63BE7B"/>
      </colorScale>
    </cfRule>
  </conditionalFormatting>
  <conditionalFormatting sqref="S9:S22">
    <cfRule type="colorScale" priority="9">
      <colorScale>
        <cfvo type="min"/>
        <cfvo type="percentile" val="50"/>
        <cfvo type="max"/>
        <color rgb="FFF8696B"/>
        <color rgb="FFFFEB84"/>
        <color rgb="FF63BE7B"/>
      </colorScale>
    </cfRule>
  </conditionalFormatting>
  <conditionalFormatting sqref="T9:T22">
    <cfRule type="colorScale" priority="10">
      <colorScale>
        <cfvo type="min"/>
        <cfvo type="percentile" val="50"/>
        <cfvo type="max"/>
        <color rgb="FFF8696B"/>
        <color rgb="FFFFEB84"/>
        <color rgb="FF63BE7B"/>
      </colorScale>
    </cfRule>
  </conditionalFormatting>
  <conditionalFormatting sqref="U9:U22">
    <cfRule type="colorScale" priority="11">
      <colorScale>
        <cfvo type="min"/>
        <cfvo type="percentile" val="50"/>
        <cfvo type="max"/>
        <color rgb="FFF8696B"/>
        <color rgb="FFFFEB84"/>
        <color rgb="FF63BE7B"/>
      </colorScale>
    </cfRule>
  </conditionalFormatting>
  <conditionalFormatting sqref="V9:V22">
    <cfRule type="colorScale" priority="12">
      <colorScale>
        <cfvo type="min"/>
        <cfvo type="percentile" val="50"/>
        <cfvo type="max"/>
        <color rgb="FFF8696B"/>
        <color rgb="FFFFEB84"/>
        <color rgb="FF63BE7B"/>
      </colorScale>
    </cfRule>
  </conditionalFormatting>
  <conditionalFormatting sqref="X9:X22">
    <cfRule type="colorScale" priority="13">
      <colorScale>
        <cfvo type="min"/>
        <cfvo type="percentile" val="50"/>
        <cfvo type="max"/>
        <color rgb="FF63BE7B"/>
        <color rgb="FFFFEB84"/>
        <color rgb="FFF8696B"/>
      </colorScale>
    </cfRule>
  </conditionalFormatting>
  <conditionalFormatting sqref="Y9:Y22">
    <cfRule type="colorScale" priority="14">
      <colorScale>
        <cfvo type="min"/>
        <cfvo type="percentile" val="50"/>
        <cfvo type="max"/>
        <color rgb="FF63BE7B"/>
        <color rgb="FFFFEB84"/>
        <color rgb="FFF8696B"/>
      </colorScale>
    </cfRule>
  </conditionalFormatting>
  <conditionalFormatting sqref="Z9:Z22">
    <cfRule type="colorScale" priority="15">
      <colorScale>
        <cfvo type="min"/>
        <cfvo type="percentile" val="50"/>
        <cfvo type="max"/>
        <color rgb="FF63BE7B"/>
        <color rgb="FFFFEB84"/>
        <color rgb="FFF8696B"/>
      </colorScale>
    </cfRule>
  </conditionalFormatting>
  <conditionalFormatting sqref="AA9:AA22">
    <cfRule type="colorScale" priority="16">
      <colorScale>
        <cfvo type="min"/>
        <cfvo type="percentile" val="50"/>
        <cfvo type="max"/>
        <color rgb="FF63BE7B"/>
        <color rgb="FFFFEB84"/>
        <color rgb="FFF8696B"/>
      </colorScale>
    </cfRule>
  </conditionalFormatting>
  <conditionalFormatting sqref="AB9:AB22">
    <cfRule type="colorScale" priority="17">
      <colorScale>
        <cfvo type="min"/>
        <cfvo type="percentile" val="50"/>
        <cfvo type="max"/>
        <color rgb="FF63BE7B"/>
        <color rgb="FFFFEB84"/>
        <color rgb="FFF8696B"/>
      </colorScale>
    </cfRule>
  </conditionalFormatting>
  <conditionalFormatting sqref="AC9:AC22">
    <cfRule type="colorScale" priority="18">
      <colorScale>
        <cfvo type="min"/>
        <cfvo type="percentile" val="50"/>
        <cfvo type="max"/>
        <color rgb="FF63BE7B"/>
        <color rgb="FFFFEB84"/>
        <color rgb="FFF8696B"/>
      </colorScale>
    </cfRule>
  </conditionalFormatting>
  <hyperlinks>
    <hyperlink ref="H2" r:id="rId1" xr:uid="{CD9D1D0F-CE1B-4ED9-9187-9C41D1812C3D}"/>
    <hyperlink ref="B26" r:id="rId2" xr:uid="{46E8E4D8-FAC2-44F2-B732-24511C2A347C}"/>
  </hyperlinks>
  <pageMargins left="0.7" right="0.7" top="0.75" bottom="0.75" header="0.3" footer="0.3"/>
  <pageSetup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EF44-33F7-40E5-B472-A7B8DCCD3C0F}">
  <dimension ref="B2:O19"/>
  <sheetViews>
    <sheetView showGridLines="0" zoomScale="70" zoomScaleNormal="70" workbookViewId="0">
      <selection activeCell="Q25" sqref="Q25"/>
    </sheetView>
  </sheetViews>
  <sheetFormatPr defaultRowHeight="14.4" x14ac:dyDescent="0.3"/>
  <cols>
    <col min="1" max="1" width="3.6640625" customWidth="1"/>
    <col min="2" max="2" width="51.6640625" customWidth="1"/>
    <col min="6" max="6" width="12.6640625" customWidth="1"/>
    <col min="7" max="7" width="15.21875" customWidth="1"/>
    <col min="8" max="8" width="11.6640625" customWidth="1"/>
    <col min="9" max="9" width="19.44140625" bestFit="1" customWidth="1"/>
  </cols>
  <sheetData>
    <row r="2" spans="2:15" s="22" customFormat="1" ht="21" x14ac:dyDescent="0.4">
      <c r="B2" s="23" t="s">
        <v>2</v>
      </c>
    </row>
    <row r="4" spans="2:15" x14ac:dyDescent="0.3">
      <c r="B4" t="s">
        <v>9</v>
      </c>
    </row>
    <row r="5" spans="2:15" x14ac:dyDescent="0.3">
      <c r="B5" t="s">
        <v>8</v>
      </c>
    </row>
    <row r="6" spans="2:15" ht="15.6" x14ac:dyDescent="0.3">
      <c r="B6" s="177"/>
      <c r="C6" s="178"/>
      <c r="D6" s="179"/>
      <c r="E6" s="179"/>
      <c r="F6" s="179"/>
      <c r="G6" s="179"/>
      <c r="H6" s="179"/>
      <c r="I6" s="179"/>
      <c r="J6" s="177"/>
      <c r="K6" s="177"/>
      <c r="L6" s="177"/>
      <c r="M6" s="177"/>
      <c r="N6" s="177"/>
      <c r="O6" s="177"/>
    </row>
    <row r="7" spans="2:15" ht="15.6" x14ac:dyDescent="0.3">
      <c r="B7" s="177"/>
      <c r="C7" s="177"/>
      <c r="D7" s="179" t="s">
        <v>69</v>
      </c>
      <c r="E7" s="179" t="s">
        <v>251</v>
      </c>
      <c r="F7" s="179" t="s">
        <v>253</v>
      </c>
      <c r="G7" s="179" t="s">
        <v>256</v>
      </c>
      <c r="H7" s="179" t="s">
        <v>7</v>
      </c>
      <c r="I7" s="184" t="s">
        <v>254</v>
      </c>
      <c r="J7" s="179" t="s">
        <v>6</v>
      </c>
      <c r="K7" s="179" t="s">
        <v>6</v>
      </c>
      <c r="L7" s="179" t="s">
        <v>253</v>
      </c>
      <c r="M7" s="179" t="s">
        <v>5</v>
      </c>
      <c r="N7" s="179" t="s">
        <v>4</v>
      </c>
      <c r="O7" s="179" t="s">
        <v>2</v>
      </c>
    </row>
    <row r="8" spans="2:15" ht="15.6" x14ac:dyDescent="0.3">
      <c r="B8" s="181" t="s">
        <v>79</v>
      </c>
      <c r="C8" s="181" t="s">
        <v>80</v>
      </c>
      <c r="D8" s="182" t="s">
        <v>81</v>
      </c>
      <c r="E8" s="182" t="s">
        <v>252</v>
      </c>
      <c r="F8" s="179" t="s">
        <v>251</v>
      </c>
      <c r="G8" s="179" t="s">
        <v>257</v>
      </c>
      <c r="H8" s="182"/>
      <c r="I8" s="183" t="s">
        <v>255</v>
      </c>
      <c r="J8" s="179"/>
      <c r="K8" s="182" t="s">
        <v>252</v>
      </c>
      <c r="L8" s="179" t="s">
        <v>6</v>
      </c>
      <c r="M8" s="179"/>
      <c r="N8" s="179"/>
      <c r="O8" s="179"/>
    </row>
    <row r="9" spans="2:15" ht="15.6" x14ac:dyDescent="0.3">
      <c r="B9" s="145"/>
      <c r="C9" s="145"/>
      <c r="D9" s="146"/>
      <c r="E9" s="146"/>
      <c r="F9" s="146"/>
      <c r="G9" s="139" t="str">
        <f>HYPERLINK("https://tradingeconomics.com/india/government-bond-yield","India 10Y Yield")</f>
        <v>India 10Y Yield</v>
      </c>
      <c r="H9" s="146"/>
      <c r="I9" s="139" t="str">
        <f>HYPERLINK("https://pages.stern.nyu.edu/~adamodar/New_Home_Page/datafile/ctryprem.html","Country Risk Premium")</f>
        <v>Country Risk Premium</v>
      </c>
      <c r="J9" s="139" t="str">
        <f>HYPERLINK("https://www.screener.in/company/SBIN/consolidated/#balance-sheet","Debt")</f>
        <v>Debt</v>
      </c>
      <c r="K9" s="146"/>
      <c r="L9" s="146"/>
      <c r="M9" s="146"/>
      <c r="N9" s="146"/>
      <c r="O9" s="146"/>
    </row>
    <row r="10" spans="2:15" ht="15.6" x14ac:dyDescent="0.3">
      <c r="B10" s="148" t="e" vm="1">
        <v>#VALUE!</v>
      </c>
      <c r="C10" s="102" t="str" cm="1">
        <f t="array" aca="1" ref="C10" ca="1">_FV(B10,"Ticker symbol",TRUE)</f>
        <v>SBIN</v>
      </c>
      <c r="D10" s="149" cm="1">
        <f t="array" aca="1" ref="D10" ca="1">_FV(B10,"Price")</f>
        <v>1018.2</v>
      </c>
      <c r="E10" s="150"/>
      <c r="F10" s="173"/>
      <c r="G10" s="185">
        <v>6.7000000000000004E-2</v>
      </c>
      <c r="H10" s="151" cm="1">
        <f t="array" aca="1" ref="H10" ca="1">_FV(B10,"Beta")</f>
        <v>1.2209000000000001</v>
      </c>
      <c r="I10" s="185">
        <v>7.0800000000000002E-2</v>
      </c>
      <c r="J10" s="175">
        <v>490938</v>
      </c>
      <c r="K10" s="175">
        <v>439189</v>
      </c>
      <c r="L10" s="175">
        <v>350845</v>
      </c>
      <c r="M10" s="175">
        <v>132005.42000000001</v>
      </c>
      <c r="N10" s="175">
        <v>135923.75</v>
      </c>
      <c r="O10" s="175">
        <v>100817.87</v>
      </c>
    </row>
    <row r="11" spans="2:15" ht="15.6" x14ac:dyDescent="0.3">
      <c r="B11" s="148"/>
      <c r="D11" s="24"/>
      <c r="E11" s="155"/>
      <c r="F11" s="155"/>
      <c r="G11" s="155"/>
      <c r="H11" s="155"/>
      <c r="I11" s="156"/>
      <c r="J11" s="157"/>
      <c r="K11" s="157"/>
      <c r="L11" s="157"/>
      <c r="M11" s="157"/>
      <c r="N11" s="157"/>
      <c r="O11" s="157"/>
    </row>
    <row r="12" spans="2:15" ht="15.6" x14ac:dyDescent="0.3">
      <c r="B12" s="148" t="e" vm="2">
        <v>#VALUE!</v>
      </c>
      <c r="C12" t="str" cm="1">
        <f t="array" aca="1" ref="C12" ca="1">_FV(B12,"Ticker symbol",TRUE)</f>
        <v>HDFCBANK</v>
      </c>
      <c r="D12" s="160" cm="1">
        <f t="array" aca="1" ref="D12" ca="1">_FV(B12,"Price")</f>
        <v>922.1</v>
      </c>
      <c r="E12" s="155"/>
      <c r="F12" s="174"/>
      <c r="G12" s="186">
        <v>6.7000000000000004E-2</v>
      </c>
      <c r="H12" s="161"/>
      <c r="I12" s="186">
        <v>7.0800000000000002E-2</v>
      </c>
      <c r="J12" s="176"/>
      <c r="K12" s="176"/>
      <c r="L12" s="176"/>
      <c r="M12" s="176"/>
      <c r="N12" s="176"/>
      <c r="O12" s="176"/>
    </row>
    <row r="13" spans="2:15" ht="15.6" x14ac:dyDescent="0.3">
      <c r="B13" s="148" t="e" vm="3">
        <v>#VALUE!</v>
      </c>
      <c r="C13" t="str" cm="1">
        <f t="array" aca="1" ref="C13" ca="1">_FV(B13,"Ticker symbol",TRUE)</f>
        <v>ICICIBANK</v>
      </c>
      <c r="D13" s="160" cm="1">
        <f t="array" aca="1" ref="D13" ca="1">_FV(B13,"Price")</f>
        <v>1334.2</v>
      </c>
      <c r="E13" s="155"/>
      <c r="F13" s="174"/>
      <c r="G13" s="186">
        <v>6.7000000000000004E-2</v>
      </c>
      <c r="H13" s="161"/>
      <c r="I13" s="186">
        <v>7.0800000000000002E-2</v>
      </c>
      <c r="J13" s="176"/>
      <c r="K13" s="176"/>
      <c r="L13" s="176"/>
      <c r="M13" s="176"/>
      <c r="N13" s="176"/>
      <c r="O13" s="176"/>
    </row>
    <row r="14" spans="2:15" ht="15.6" x14ac:dyDescent="0.3">
      <c r="B14" s="148" t="e" vm="4">
        <v>#VALUE!</v>
      </c>
      <c r="C14" t="str" cm="1">
        <f t="array" aca="1" ref="C14" ca="1">_FV(B14,"Ticker symbol",TRUE)</f>
        <v>AXISBANK</v>
      </c>
      <c r="D14" s="160" cm="1">
        <f t="array" aca="1" ref="D14" ca="1">_FV(B14,"Price")</f>
        <v>1340.4</v>
      </c>
      <c r="E14" s="155"/>
      <c r="F14" s="174"/>
      <c r="G14" s="186">
        <v>6.7000000000000004E-2</v>
      </c>
      <c r="H14" s="161"/>
      <c r="I14" s="186">
        <v>7.0800000000000002E-2</v>
      </c>
      <c r="J14" s="176"/>
      <c r="K14" s="176"/>
      <c r="L14" s="176"/>
      <c r="M14" s="176"/>
      <c r="N14" s="176"/>
      <c r="O14" s="176"/>
    </row>
    <row r="15" spans="2:15" ht="15.6" x14ac:dyDescent="0.3">
      <c r="B15" s="148" t="e" vm="5">
        <v>#VALUE!</v>
      </c>
      <c r="C15" t="str" cm="1">
        <f t="array" aca="1" ref="C15" ca="1">_FV(B15,"Ticker symbol",TRUE)</f>
        <v>KOTAKBANK</v>
      </c>
      <c r="D15" s="160" cm="1">
        <f t="array" aca="1" ref="D15" ca="1">_FV(B15,"Price")</f>
        <v>407.25</v>
      </c>
      <c r="E15" s="155"/>
      <c r="F15" s="174"/>
      <c r="G15" s="186">
        <v>6.7000000000000004E-2</v>
      </c>
      <c r="H15" s="161"/>
      <c r="I15" s="186">
        <v>7.0800000000000002E-2</v>
      </c>
      <c r="J15" s="176"/>
      <c r="K15" s="176"/>
      <c r="L15" s="176"/>
      <c r="M15" s="176"/>
      <c r="N15" s="176"/>
      <c r="O15" s="176"/>
    </row>
    <row r="16" spans="2:15" ht="15.6" x14ac:dyDescent="0.3">
      <c r="B16" s="148" t="e" vm="6">
        <v>#VALUE!</v>
      </c>
      <c r="C16" t="str" cm="1">
        <f t="array" aca="1" ref="C16" ca="1">_FV(B16,"Ticker symbol",TRUE)</f>
        <v>INDUSINDBK</v>
      </c>
      <c r="D16" s="160" cm="1">
        <f t="array" aca="1" ref="D16" ca="1">_FV(B16,"Price")</f>
        <v>895.6</v>
      </c>
      <c r="E16" s="155"/>
      <c r="F16" s="174"/>
      <c r="G16" s="186">
        <v>6.7000000000000004E-2</v>
      </c>
      <c r="H16" s="161"/>
      <c r="I16" s="186">
        <v>7.0800000000000002E-2</v>
      </c>
      <c r="J16" s="176"/>
      <c r="K16" s="176"/>
      <c r="L16" s="176"/>
      <c r="M16" s="176"/>
      <c r="N16" s="176"/>
      <c r="O16" s="176"/>
    </row>
    <row r="17" spans="2:15" x14ac:dyDescent="0.3">
      <c r="C17" s="164"/>
      <c r="D17" s="24"/>
      <c r="E17" s="155"/>
      <c r="F17" s="155"/>
      <c r="G17" s="155"/>
      <c r="H17" s="155"/>
      <c r="J17" s="155"/>
      <c r="K17" s="155"/>
      <c r="L17" s="155"/>
      <c r="M17" s="155"/>
      <c r="N17" s="155"/>
      <c r="O17" s="155"/>
    </row>
    <row r="18" spans="2:15" ht="15.6" x14ac:dyDescent="0.3">
      <c r="B18" s="165" t="s">
        <v>83</v>
      </c>
      <c r="C18" s="166"/>
      <c r="D18" s="166"/>
      <c r="E18" s="166"/>
      <c r="F18" s="166"/>
      <c r="G18" s="166"/>
      <c r="H18" s="166"/>
      <c r="I18" s="167"/>
      <c r="J18" s="167"/>
      <c r="K18" s="167"/>
      <c r="L18" s="167"/>
      <c r="M18" s="167"/>
      <c r="N18" s="167"/>
      <c r="O18" s="167"/>
    </row>
    <row r="19" spans="2:15" ht="15.6" x14ac:dyDescent="0.3">
      <c r="B19" s="168" t="s">
        <v>84</v>
      </c>
      <c r="C19" s="169"/>
      <c r="D19" s="169"/>
      <c r="E19" s="169"/>
      <c r="F19" s="169"/>
      <c r="G19" s="169"/>
      <c r="H19" s="169"/>
      <c r="I19" s="170"/>
      <c r="J19" s="170"/>
      <c r="K19" s="170"/>
      <c r="L19" s="170"/>
      <c r="M19" s="170"/>
      <c r="N19" s="170"/>
      <c r="O19" s="17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0D1D-338B-469C-875F-DE0E5AC2E592}">
  <dimension ref="A2:T84"/>
  <sheetViews>
    <sheetView showGridLines="0" topLeftCell="A28" zoomScale="40" zoomScaleNormal="40" workbookViewId="0">
      <selection activeCell="J4" sqref="J4"/>
    </sheetView>
  </sheetViews>
  <sheetFormatPr defaultRowHeight="14.4" x14ac:dyDescent="0.3"/>
  <cols>
    <col min="1" max="1" width="3.6640625" customWidth="1"/>
    <col min="3" max="3" width="10.6640625" bestFit="1" customWidth="1"/>
    <col min="5" max="5" width="8.77734375" customWidth="1"/>
  </cols>
  <sheetData>
    <row r="2" spans="1:20" s="22" customFormat="1" ht="21" x14ac:dyDescent="0.4">
      <c r="B2" s="23" t="s">
        <v>123</v>
      </c>
    </row>
    <row r="4" spans="1:20" x14ac:dyDescent="0.3">
      <c r="B4" t="s">
        <v>79</v>
      </c>
      <c r="C4" s="67" t="s">
        <v>209</v>
      </c>
      <c r="E4" t="s">
        <v>85</v>
      </c>
      <c r="H4" s="69" t="e">
        <f>#REF!</f>
        <v>#REF!</v>
      </c>
    </row>
    <row r="5" spans="1:20" x14ac:dyDescent="0.3">
      <c r="B5" t="s">
        <v>67</v>
      </c>
      <c r="C5" s="68">
        <v>46001</v>
      </c>
      <c r="E5" t="s">
        <v>86</v>
      </c>
      <c r="H5" s="69" t="e">
        <f ca="1">P84</f>
        <v>#REF!</v>
      </c>
      <c r="J5" s="69"/>
      <c r="K5" s="69"/>
    </row>
    <row r="6" spans="1:20" x14ac:dyDescent="0.3">
      <c r="B6" t="s">
        <v>87</v>
      </c>
      <c r="C6" s="68">
        <v>46022</v>
      </c>
      <c r="E6" t="s">
        <v>88</v>
      </c>
      <c r="H6" s="70" t="e">
        <f ca="1">H5/H4-1</f>
        <v>#REF!</v>
      </c>
      <c r="J6" s="70"/>
      <c r="K6" s="70"/>
    </row>
    <row r="8" spans="1:20" x14ac:dyDescent="0.3">
      <c r="A8" s="24" t="s">
        <v>3</v>
      </c>
      <c r="B8" s="27" t="s">
        <v>89</v>
      </c>
      <c r="C8" s="27"/>
      <c r="D8" s="27"/>
      <c r="E8" s="27"/>
      <c r="F8" s="27"/>
      <c r="G8" s="27"/>
      <c r="H8" s="27"/>
      <c r="I8" s="27"/>
      <c r="J8" s="27"/>
      <c r="K8" s="27"/>
      <c r="L8" s="27"/>
      <c r="M8" s="27"/>
      <c r="N8" s="27"/>
      <c r="O8" s="27"/>
      <c r="P8" s="27"/>
      <c r="Q8" s="27"/>
      <c r="R8" s="27"/>
      <c r="S8" s="27"/>
      <c r="T8" s="27"/>
    </row>
    <row r="9" spans="1:20" ht="5.0999999999999996" customHeight="1" x14ac:dyDescent="0.3"/>
    <row r="10" spans="1:20" x14ac:dyDescent="0.3">
      <c r="B10" s="71" t="s">
        <v>90</v>
      </c>
      <c r="C10" s="72"/>
      <c r="D10" s="72"/>
      <c r="E10" s="72"/>
      <c r="G10" s="71" t="s">
        <v>91</v>
      </c>
      <c r="H10" s="72"/>
      <c r="I10" s="72"/>
      <c r="J10" s="72"/>
      <c r="L10" s="71" t="s">
        <v>92</v>
      </c>
      <c r="M10" s="72"/>
      <c r="N10" s="72"/>
      <c r="O10" s="72"/>
      <c r="Q10" s="71" t="s">
        <v>93</v>
      </c>
      <c r="R10" s="72"/>
      <c r="S10" s="72"/>
      <c r="T10" s="72"/>
    </row>
    <row r="11" spans="1:20" x14ac:dyDescent="0.3">
      <c r="B11" s="25" t="s">
        <v>89</v>
      </c>
      <c r="G11" s="25" t="s">
        <v>89</v>
      </c>
      <c r="H11" s="73"/>
      <c r="I11" s="74" t="s">
        <v>94</v>
      </c>
      <c r="J11" s="74" t="s">
        <v>95</v>
      </c>
      <c r="L11" s="25" t="s">
        <v>89</v>
      </c>
      <c r="M11" s="73"/>
      <c r="N11" s="74" t="s">
        <v>94</v>
      </c>
      <c r="O11" s="74" t="s">
        <v>95</v>
      </c>
      <c r="Q11" s="25" t="s">
        <v>89</v>
      </c>
      <c r="R11" s="73"/>
      <c r="S11" s="74" t="s">
        <v>94</v>
      </c>
      <c r="T11" s="74" t="s">
        <v>95</v>
      </c>
    </row>
    <row r="12" spans="1:20" x14ac:dyDescent="0.3">
      <c r="B12" t="s">
        <v>96</v>
      </c>
      <c r="E12" s="67">
        <v>2</v>
      </c>
      <c r="F12" s="24"/>
      <c r="G12" t="s">
        <v>239</v>
      </c>
      <c r="I12" s="76" t="s">
        <v>238</v>
      </c>
      <c r="J12" s="75">
        <v>0.85</v>
      </c>
      <c r="N12" s="24"/>
      <c r="O12" s="24"/>
      <c r="Q12" t="s">
        <v>239</v>
      </c>
      <c r="S12" s="76" t="s">
        <v>238</v>
      </c>
      <c r="T12" s="75">
        <v>1.1499999999999999</v>
      </c>
    </row>
    <row r="13" spans="1:20" x14ac:dyDescent="0.3">
      <c r="B13" t="s">
        <v>97</v>
      </c>
      <c r="E13" s="67">
        <v>2</v>
      </c>
      <c r="F13" s="24"/>
      <c r="G13" t="s">
        <v>240</v>
      </c>
      <c r="I13" s="76" t="s">
        <v>243</v>
      </c>
      <c r="J13" s="75">
        <v>-0.1</v>
      </c>
      <c r="L13" t="s">
        <v>240</v>
      </c>
      <c r="N13" s="76" t="s">
        <v>243</v>
      </c>
      <c r="O13" s="75">
        <v>-0.05</v>
      </c>
      <c r="Q13" t="s">
        <v>240</v>
      </c>
      <c r="S13" s="76" t="s">
        <v>243</v>
      </c>
      <c r="T13" s="75">
        <v>-2.5000000000000001E-2</v>
      </c>
    </row>
    <row r="14" spans="1:20" x14ac:dyDescent="0.3">
      <c r="B14" t="s">
        <v>2</v>
      </c>
      <c r="E14" s="67">
        <v>1</v>
      </c>
      <c r="F14" s="24"/>
      <c r="G14" t="s">
        <v>241</v>
      </c>
      <c r="I14" s="76" t="s">
        <v>238</v>
      </c>
      <c r="J14" s="75">
        <v>0.95</v>
      </c>
      <c r="N14" s="76"/>
      <c r="Q14" t="s">
        <v>241</v>
      </c>
      <c r="S14" s="76" t="s">
        <v>238</v>
      </c>
      <c r="T14" s="75">
        <v>1.05</v>
      </c>
    </row>
    <row r="15" spans="1:20" x14ac:dyDescent="0.3">
      <c r="B15" t="s">
        <v>98</v>
      </c>
      <c r="E15" s="67">
        <v>2</v>
      </c>
      <c r="F15" s="24"/>
      <c r="G15" t="s">
        <v>242</v>
      </c>
      <c r="I15" s="76" t="s">
        <v>243</v>
      </c>
      <c r="J15" s="75">
        <v>5.5E-2</v>
      </c>
      <c r="L15" t="s">
        <v>242</v>
      </c>
      <c r="N15" s="76" t="s">
        <v>243</v>
      </c>
      <c r="O15" s="75">
        <v>7.0000000000000007E-2</v>
      </c>
      <c r="Q15" t="s">
        <v>242</v>
      </c>
      <c r="S15" s="76" t="s">
        <v>243</v>
      </c>
      <c r="T15" s="75">
        <v>8.5000000000000006E-2</v>
      </c>
    </row>
    <row r="16" spans="1:20" x14ac:dyDescent="0.3">
      <c r="E16" s="24"/>
      <c r="F16" s="24"/>
      <c r="I16" s="76"/>
      <c r="J16" s="76"/>
      <c r="K16" s="24"/>
      <c r="N16" s="76"/>
      <c r="O16" s="76"/>
      <c r="P16" s="24"/>
      <c r="S16" s="24"/>
      <c r="T16" s="24"/>
    </row>
    <row r="17" spans="1:20" x14ac:dyDescent="0.3">
      <c r="B17" s="25" t="s">
        <v>99</v>
      </c>
      <c r="F17" s="24"/>
      <c r="I17" s="76"/>
      <c r="J17" s="76"/>
      <c r="K17" s="24"/>
      <c r="L17" s="24"/>
      <c r="M17" s="24"/>
      <c r="N17" s="76"/>
      <c r="O17" s="76"/>
      <c r="P17" s="24"/>
      <c r="Q17" s="24"/>
      <c r="R17" s="24"/>
      <c r="S17" s="24"/>
      <c r="T17" s="24"/>
    </row>
    <row r="18" spans="1:20" x14ac:dyDescent="0.3">
      <c r="B18" t="s">
        <v>2</v>
      </c>
      <c r="E18" s="77" t="e">
        <f>CHOOSE(E14,J18,O18,T18)</f>
        <v>#REF!</v>
      </c>
      <c r="F18" s="24"/>
      <c r="G18" t="s">
        <v>2</v>
      </c>
      <c r="I18" s="76"/>
      <c r="J18" s="77" t="e">
        <f>O18+1%</f>
        <v>#REF!</v>
      </c>
      <c r="K18" s="24"/>
      <c r="L18" t="s">
        <v>2</v>
      </c>
      <c r="N18" s="76"/>
      <c r="O18" s="77" t="e">
        <f>T18+2.5%</f>
        <v>#REF!</v>
      </c>
      <c r="P18" s="24"/>
      <c r="Q18" t="s">
        <v>2</v>
      </c>
      <c r="S18" s="76"/>
      <c r="T18" s="77" t="e">
        <f>WACC!#REF!</f>
        <v>#REF!</v>
      </c>
    </row>
    <row r="19" spans="1:20" x14ac:dyDescent="0.3">
      <c r="B19" t="s">
        <v>98</v>
      </c>
      <c r="E19" s="77">
        <f>CHOOSE(E15,J19,O19,T19)</f>
        <v>0.02</v>
      </c>
      <c r="G19" t="s">
        <v>98</v>
      </c>
      <c r="I19" s="76"/>
      <c r="J19" s="77">
        <v>1.4999999999999999E-2</v>
      </c>
      <c r="K19" s="24"/>
      <c r="L19" t="s">
        <v>98</v>
      </c>
      <c r="N19" s="76"/>
      <c r="O19" s="77">
        <v>0.02</v>
      </c>
      <c r="P19" s="24"/>
      <c r="Q19" t="s">
        <v>98</v>
      </c>
      <c r="S19" s="76"/>
      <c r="T19" s="77">
        <v>2.5000000000000001E-2</v>
      </c>
    </row>
    <row r="20" spans="1:20" x14ac:dyDescent="0.3">
      <c r="E20" s="78"/>
      <c r="J20" s="78"/>
      <c r="K20" s="24"/>
      <c r="O20" s="78"/>
      <c r="P20" s="24"/>
      <c r="T20" s="78"/>
    </row>
    <row r="21" spans="1:20" x14ac:dyDescent="0.3">
      <c r="A21" s="24" t="s">
        <v>3</v>
      </c>
      <c r="B21" s="27" t="s">
        <v>124</v>
      </c>
      <c r="C21" s="27"/>
      <c r="D21" s="27"/>
      <c r="E21" s="79">
        <v>2019</v>
      </c>
      <c r="F21" s="79">
        <f>E21+1</f>
        <v>2020</v>
      </c>
      <c r="G21" s="79">
        <f t="shared" ref="G21:O21" si="0">F21+1</f>
        <v>2021</v>
      </c>
      <c r="H21" s="79">
        <f t="shared" si="0"/>
        <v>2022</v>
      </c>
      <c r="I21" s="79">
        <f t="shared" si="0"/>
        <v>2023</v>
      </c>
      <c r="J21" s="79">
        <f t="shared" si="0"/>
        <v>2024</v>
      </c>
      <c r="K21" s="80">
        <f t="shared" si="0"/>
        <v>2025</v>
      </c>
      <c r="L21" s="80">
        <f t="shared" si="0"/>
        <v>2026</v>
      </c>
      <c r="M21" s="80">
        <f t="shared" si="0"/>
        <v>2027</v>
      </c>
      <c r="N21" s="80">
        <f t="shared" si="0"/>
        <v>2028</v>
      </c>
      <c r="O21" s="80">
        <f t="shared" si="0"/>
        <v>2029</v>
      </c>
      <c r="P21" s="24"/>
      <c r="T21" s="81"/>
    </row>
    <row r="22" spans="1:20" x14ac:dyDescent="0.3">
      <c r="B22" t="s">
        <v>96</v>
      </c>
      <c r="E22" s="82">
        <f>'IS - Estimates'!B5</f>
        <v>242155</v>
      </c>
      <c r="F22" s="82">
        <f>'IS - Estimates'!C5</f>
        <v>257141</v>
      </c>
      <c r="G22" s="82">
        <f>'IS - Estimates'!D5</f>
        <v>287597</v>
      </c>
      <c r="H22" s="82">
        <f>'IS - Estimates'!E5</f>
        <v>324162</v>
      </c>
      <c r="I22" s="82">
        <f>'IS - Estimates'!F5</f>
        <v>371622</v>
      </c>
      <c r="J22" s="82">
        <f>'IS - Estimates'!G5</f>
        <v>400278</v>
      </c>
      <c r="K22" s="82">
        <f>'IS - Estimates'!H5</f>
        <v>447440</v>
      </c>
      <c r="L22" s="82">
        <f>'IS - Estimates'!I5</f>
        <v>453201</v>
      </c>
      <c r="M22" s="82">
        <f>'IS - Estimates'!J5</f>
        <v>477361</v>
      </c>
      <c r="N22" s="123">
        <f>'IS - Estimates'!K5</f>
        <v>494793</v>
      </c>
      <c r="O22" s="123">
        <f>'IS - Estimates'!L5</f>
        <v>533966</v>
      </c>
      <c r="P22" s="24"/>
    </row>
    <row r="23" spans="1:20" x14ac:dyDescent="0.3">
      <c r="B23" s="83" t="s">
        <v>100</v>
      </c>
      <c r="E23" s="84"/>
      <c r="F23" s="85">
        <f>F22/E22-1</f>
        <v>6.1885982118890848E-2</v>
      </c>
      <c r="G23" s="85">
        <f t="shared" ref="G23:O23" si="1">G22/F22-1</f>
        <v>0.11844085540617799</v>
      </c>
      <c r="H23" s="85">
        <f t="shared" si="1"/>
        <v>0.12713971286209524</v>
      </c>
      <c r="I23" s="85">
        <f t="shared" si="1"/>
        <v>0.14640827734281014</v>
      </c>
      <c r="J23" s="85">
        <f t="shared" si="1"/>
        <v>7.7110612396467326E-2</v>
      </c>
      <c r="K23" s="85">
        <f t="shared" si="1"/>
        <v>0.11782311293650904</v>
      </c>
      <c r="L23" s="85">
        <f t="shared" si="1"/>
        <v>1.2875469336670831E-2</v>
      </c>
      <c r="M23" s="85">
        <f t="shared" si="1"/>
        <v>5.3309679369639484E-2</v>
      </c>
      <c r="N23" s="124">
        <f t="shared" si="1"/>
        <v>3.6517436489365451E-2</v>
      </c>
      <c r="O23" s="124">
        <f t="shared" si="1"/>
        <v>7.917048139322902E-2</v>
      </c>
      <c r="P23" s="24"/>
    </row>
    <row r="24" spans="1:20" x14ac:dyDescent="0.3">
      <c r="N24" s="125"/>
      <c r="O24" s="126"/>
      <c r="P24" s="24"/>
    </row>
    <row r="25" spans="1:20" x14ac:dyDescent="0.3">
      <c r="B25" t="s">
        <v>97</v>
      </c>
      <c r="E25" s="82">
        <f>'IS - Estimates'!B10</f>
        <v>19685</v>
      </c>
      <c r="F25" s="82">
        <f>'IS - Estimates'!C10</f>
        <v>22405</v>
      </c>
      <c r="G25" s="82">
        <f>'IS - Estimates'!D10</f>
        <v>23970</v>
      </c>
      <c r="H25" s="82">
        <f>'IS - Estimates'!E10</f>
        <v>28435</v>
      </c>
      <c r="I25" s="82">
        <f>'IS - Estimates'!F10</f>
        <v>32358</v>
      </c>
      <c r="J25" s="82">
        <f>'IS - Estimates'!G10</f>
        <v>32287</v>
      </c>
      <c r="K25" s="82">
        <f>'IS - Estimates'!H10</f>
        <v>22264.5</v>
      </c>
      <c r="L25" s="82">
        <f>'IS - Estimates'!I10</f>
        <v>24113.8</v>
      </c>
      <c r="M25" s="82">
        <f>'IS - Estimates'!J10</f>
        <v>27545.4</v>
      </c>
      <c r="N25" s="123">
        <f>'IS - Estimates'!K10</f>
        <v>33993.800000000003</v>
      </c>
      <c r="O25" s="123">
        <f>'IS - Estimates'!L10</f>
        <v>37521.300000000003</v>
      </c>
      <c r="P25" s="24"/>
    </row>
    <row r="26" spans="1:20" x14ac:dyDescent="0.3">
      <c r="B26" s="83" t="s">
        <v>101</v>
      </c>
      <c r="E26" s="86">
        <f>E25/E22</f>
        <v>8.1290908715492147E-2</v>
      </c>
      <c r="F26" s="86">
        <f t="shared" ref="F26:O26" si="2">F25/F22</f>
        <v>8.7131184836334932E-2</v>
      </c>
      <c r="G26" s="86">
        <f t="shared" si="2"/>
        <v>8.3345792897700596E-2</v>
      </c>
      <c r="H26" s="86">
        <f t="shared" si="2"/>
        <v>8.7718486435794454E-2</v>
      </c>
      <c r="I26" s="86">
        <f t="shared" si="2"/>
        <v>8.7072347708155057E-2</v>
      </c>
      <c r="J26" s="86">
        <f t="shared" si="2"/>
        <v>8.0661440298992207E-2</v>
      </c>
      <c r="K26" s="86">
        <f t="shared" si="2"/>
        <v>4.9759744323261218E-2</v>
      </c>
      <c r="L26" s="86">
        <f t="shared" si="2"/>
        <v>5.3207737847003868E-2</v>
      </c>
      <c r="M26" s="86">
        <f t="shared" si="2"/>
        <v>5.770349902903673E-2</v>
      </c>
      <c r="N26" s="127">
        <f t="shared" si="2"/>
        <v>6.8703073810664261E-2</v>
      </c>
      <c r="O26" s="127">
        <f t="shared" si="2"/>
        <v>7.0269080802897566E-2</v>
      </c>
      <c r="P26" s="86"/>
      <c r="Q26" s="86"/>
    </row>
    <row r="27" spans="1:20" x14ac:dyDescent="0.3">
      <c r="O27" s="78"/>
      <c r="P27" s="24"/>
    </row>
    <row r="28" spans="1:20" x14ac:dyDescent="0.3">
      <c r="B28" t="s">
        <v>102</v>
      </c>
      <c r="E28" s="82">
        <f>-'IS - Historicals'!F23</f>
        <v>3742</v>
      </c>
      <c r="F28" s="82">
        <f>-'IS - Historicals'!G23</f>
        <v>4973</v>
      </c>
      <c r="G28" s="82">
        <f>-'IS - Historicals'!H23</f>
        <v>4578</v>
      </c>
      <c r="H28" s="82">
        <f>-'IS - Historicals'!I23</f>
        <v>5704</v>
      </c>
      <c r="I28" s="82">
        <f>-'IS - Historicals'!J23</f>
        <v>5968</v>
      </c>
      <c r="J28" s="82">
        <f>-'IS - Historicals'!K23</f>
        <v>4829</v>
      </c>
      <c r="K28" s="82"/>
      <c r="L28" s="82"/>
      <c r="M28" s="82"/>
      <c r="N28" s="82"/>
      <c r="O28" s="82"/>
      <c r="P28" s="24"/>
    </row>
    <row r="29" spans="1:20" x14ac:dyDescent="0.3">
      <c r="B29" s="83" t="s">
        <v>103</v>
      </c>
      <c r="E29" s="87">
        <f>-'IS - Historicals'!F23/'IS - Historicals'!F22</f>
        <v>0.20810855903453646</v>
      </c>
      <c r="F29" s="87">
        <f>-'IS - Historicals'!G23/'IS - Historicals'!G22</f>
        <v>0.23975508629833189</v>
      </c>
      <c r="G29" s="87">
        <f>-'IS - Historicals'!H23/'IS - Historicals'!H22</f>
        <v>0.2051994621246078</v>
      </c>
      <c r="H29" s="87">
        <f>-'IS - Historicals'!I23/'IS - Historicals'!I22</f>
        <v>0.21652810993432792</v>
      </c>
      <c r="I29" s="87">
        <f>-'IS - Historicals'!J23/'IS - Historicals'!J22</f>
        <v>0.20500137400384721</v>
      </c>
      <c r="J29" s="87">
        <f>-'IS - Historicals'!K23/'IS - Historicals'!K22</f>
        <v>0.2405958846096358</v>
      </c>
      <c r="K29" s="87"/>
      <c r="L29" s="87"/>
      <c r="M29" s="87"/>
      <c r="N29" s="87"/>
      <c r="O29" s="87"/>
      <c r="P29" s="24"/>
    </row>
    <row r="30" spans="1:20" x14ac:dyDescent="0.3">
      <c r="O30" s="78"/>
      <c r="P30" s="24"/>
    </row>
    <row r="31" spans="1:20" x14ac:dyDescent="0.3">
      <c r="A31" s="24" t="s">
        <v>3</v>
      </c>
      <c r="B31" s="27" t="s">
        <v>210</v>
      </c>
      <c r="C31" s="27"/>
      <c r="D31" s="27"/>
      <c r="E31" s="79">
        <v>2019</v>
      </c>
      <c r="F31" s="79">
        <f>E31+1</f>
        <v>2020</v>
      </c>
      <c r="G31" s="79">
        <f t="shared" ref="G31:J31" si="3">F31+1</f>
        <v>2021</v>
      </c>
      <c r="H31" s="79">
        <f t="shared" si="3"/>
        <v>2022</v>
      </c>
      <c r="I31" s="79">
        <f t="shared" si="3"/>
        <v>2023</v>
      </c>
      <c r="J31" s="79">
        <f t="shared" si="3"/>
        <v>2024</v>
      </c>
      <c r="O31" s="78"/>
      <c r="P31" s="24"/>
      <c r="T31" s="81"/>
    </row>
    <row r="32" spans="1:20" s="81" customFormat="1" ht="14.55" customHeight="1" x14ac:dyDescent="0.3">
      <c r="A32" s="88"/>
      <c r="B32" t="s">
        <v>104</v>
      </c>
      <c r="C32"/>
      <c r="D32" s="89"/>
      <c r="E32" s="82">
        <f>'CFS  - Historicals'!F12</f>
        <v>2720</v>
      </c>
      <c r="F32" s="82">
        <f>'CFS  - Historicals'!G12</f>
        <v>2891</v>
      </c>
      <c r="G32" s="82">
        <f>'CFS  - Historicals'!H12</f>
        <v>3103</v>
      </c>
      <c r="H32" s="82">
        <f>'CFS  - Historicals'!I12</f>
        <v>3400</v>
      </c>
      <c r="I32" s="82">
        <f>'CFS  - Historicals'!J12</f>
        <v>3972</v>
      </c>
      <c r="J32" s="82">
        <f>'CFS  - Historicals'!K12</f>
        <v>4099</v>
      </c>
      <c r="K32" s="82"/>
      <c r="L32" s="82"/>
      <c r="M32" s="82"/>
      <c r="N32" s="82"/>
      <c r="O32" s="82"/>
      <c r="P32" s="82"/>
      <c r="Q32" s="90"/>
      <c r="R32" s="91"/>
      <c r="S32" s="91"/>
    </row>
    <row r="33" spans="1:19" s="81" customFormat="1" ht="15" customHeight="1" x14ac:dyDescent="0.3">
      <c r="A33" s="88"/>
      <c r="B33" t="s">
        <v>101</v>
      </c>
      <c r="C33"/>
      <c r="D33" s="89"/>
      <c r="E33" s="87">
        <f>E32/E$22</f>
        <v>1.1232475067621978E-2</v>
      </c>
      <c r="F33" s="87">
        <f t="shared" ref="F33:J33" si="4">F32/F$22</f>
        <v>1.1242858976203716E-2</v>
      </c>
      <c r="G33" s="87">
        <f t="shared" si="4"/>
        <v>1.0789403227432831E-2</v>
      </c>
      <c r="H33" s="87">
        <f t="shared" si="4"/>
        <v>1.0488582869059298E-2</v>
      </c>
      <c r="I33" s="87">
        <f t="shared" si="4"/>
        <v>1.0688280026478519E-2</v>
      </c>
      <c r="J33" s="87">
        <f t="shared" si="4"/>
        <v>1.0240382933860967E-2</v>
      </c>
      <c r="K33" s="87"/>
      <c r="L33" s="87"/>
      <c r="M33" s="87"/>
      <c r="N33" s="87"/>
      <c r="O33" s="89"/>
      <c r="P33" s="89"/>
      <c r="Q33" s="89"/>
      <c r="R33" s="89"/>
      <c r="S33" s="89"/>
    </row>
    <row r="34" spans="1:19" s="81" customFormat="1" x14ac:dyDescent="0.3">
      <c r="A34" s="88"/>
      <c r="B34"/>
      <c r="C34"/>
      <c r="D34" s="89"/>
      <c r="E34" s="89"/>
      <c r="F34" s="89"/>
      <c r="G34" s="89"/>
      <c r="H34" s="89"/>
      <c r="I34" s="89"/>
      <c r="J34" s="89"/>
      <c r="K34" s="89"/>
      <c r="L34" s="89"/>
      <c r="M34" s="89"/>
      <c r="N34" s="89"/>
      <c r="O34" s="89"/>
      <c r="P34" s="89"/>
      <c r="Q34" s="89"/>
      <c r="R34" s="89"/>
      <c r="S34" s="89"/>
    </row>
    <row r="35" spans="1:19" s="81" customFormat="1" x14ac:dyDescent="0.3">
      <c r="A35" s="88"/>
      <c r="B35" t="s">
        <v>105</v>
      </c>
      <c r="C35"/>
      <c r="D35" s="89"/>
      <c r="E35" s="82">
        <f>-'CFS  - Historicals'!F42</f>
        <v>2071</v>
      </c>
      <c r="F35" s="82">
        <f>-'CFS  - Historicals'!G42</f>
        <v>2051</v>
      </c>
      <c r="G35" s="82">
        <f>-'CFS  - Historicals'!H42</f>
        <v>2454</v>
      </c>
      <c r="H35" s="82">
        <f>-'CFS  - Historicals'!I42</f>
        <v>2802</v>
      </c>
      <c r="I35" s="82">
        <f>-'CFS  - Historicals'!J42</f>
        <v>3386</v>
      </c>
      <c r="J35" s="82">
        <f>-'CFS  - Historicals'!K42</f>
        <v>3499</v>
      </c>
      <c r="K35" s="82"/>
      <c r="L35" s="82"/>
      <c r="M35" s="82"/>
      <c r="N35" s="82"/>
      <c r="O35" s="82"/>
      <c r="P35" s="82"/>
      <c r="Q35" s="82"/>
      <c r="R35" s="89"/>
      <c r="S35" s="89"/>
    </row>
    <row r="36" spans="1:19" s="81" customFormat="1" x14ac:dyDescent="0.3">
      <c r="A36" s="88"/>
      <c r="B36" s="92" t="s">
        <v>101</v>
      </c>
      <c r="C36" s="92"/>
      <c r="D36" s="89"/>
      <c r="E36" s="87">
        <f>E35/E$22</f>
        <v>8.5523734797959983E-3</v>
      </c>
      <c r="F36" s="87">
        <f t="shared" ref="F36" si="5">F35/F$22</f>
        <v>7.9761687167740659E-3</v>
      </c>
      <c r="G36" s="87">
        <f t="shared" ref="G36" si="6">G35/G$22</f>
        <v>8.5327732904028897E-3</v>
      </c>
      <c r="H36" s="87">
        <f t="shared" ref="H36" si="7">H35/H$22</f>
        <v>8.6438262350306324E-3</v>
      </c>
      <c r="I36" s="87">
        <f t="shared" ref="I36" si="8">I35/I$22</f>
        <v>9.1114089047472976E-3</v>
      </c>
      <c r="J36" s="87">
        <f t="shared" ref="J36" si="9">J35/J$22</f>
        <v>8.7414247098266708E-3</v>
      </c>
      <c r="K36" s="87"/>
      <c r="L36" s="87"/>
      <c r="M36" s="87"/>
      <c r="N36" s="87"/>
      <c r="O36" s="93"/>
      <c r="P36" s="93"/>
      <c r="Q36" s="93"/>
      <c r="R36" s="89"/>
      <c r="S36" s="89"/>
    </row>
    <row r="37" spans="1:19" s="81" customFormat="1" x14ac:dyDescent="0.3">
      <c r="A37" s="88"/>
      <c r="B37"/>
      <c r="C37"/>
      <c r="D37" s="89"/>
      <c r="E37" s="89"/>
      <c r="F37" s="89"/>
      <c r="G37" s="89"/>
      <c r="H37" s="89"/>
      <c r="I37" s="89"/>
      <c r="J37" s="89"/>
      <c r="K37" s="89"/>
      <c r="L37" s="89"/>
      <c r="M37" s="89"/>
      <c r="N37" s="89"/>
      <c r="O37" s="94"/>
      <c r="P37" s="89"/>
      <c r="Q37" s="89"/>
      <c r="R37" s="89"/>
      <c r="S37" s="89"/>
    </row>
    <row r="38" spans="1:19" s="81" customFormat="1" x14ac:dyDescent="0.3">
      <c r="A38" s="88"/>
      <c r="B38" t="s">
        <v>106</v>
      </c>
      <c r="C38"/>
      <c r="D38" s="89"/>
      <c r="E38" s="82">
        <f>'CFS  - Historicals'!F19</f>
        <v>683</v>
      </c>
      <c r="F38" s="82">
        <f>'CFS  - Historicals'!G19</f>
        <v>2895</v>
      </c>
      <c r="G38" s="82">
        <f>'CFS  - Historicals'!H19</f>
        <v>1522</v>
      </c>
      <c r="H38" s="82">
        <f>'CFS  - Historicals'!I19</f>
        <v>2246</v>
      </c>
      <c r="I38" s="82">
        <f>'CFS  - Historicals'!J19</f>
        <v>1643</v>
      </c>
      <c r="J38" s="82">
        <f>'CFS  - Historicals'!K19</f>
        <v>-808</v>
      </c>
      <c r="K38" s="82"/>
      <c r="L38" s="82"/>
      <c r="M38" s="82"/>
      <c r="N38" s="82"/>
      <c r="O38" s="89"/>
      <c r="P38" s="89"/>
      <c r="Q38" s="89"/>
      <c r="R38" s="89"/>
      <c r="S38" s="89"/>
    </row>
    <row r="39" spans="1:19" s="81" customFormat="1" x14ac:dyDescent="0.3">
      <c r="A39" s="88"/>
      <c r="B39" s="92" t="s">
        <v>101</v>
      </c>
      <c r="C39" s="92"/>
      <c r="D39" s="89"/>
      <c r="E39" s="87">
        <f>E38/E$22</f>
        <v>2.820507526171254E-3</v>
      </c>
      <c r="F39" s="87">
        <f t="shared" ref="F39" si="10">F38/F$22</f>
        <v>1.1258414644105763E-2</v>
      </c>
      <c r="G39" s="87">
        <f t="shared" ref="G39" si="11">G38/G$22</f>
        <v>5.2921275256696005E-3</v>
      </c>
      <c r="H39" s="87">
        <f t="shared" ref="H39" si="12">H38/H$22</f>
        <v>6.9286344482079945E-3</v>
      </c>
      <c r="I39" s="87">
        <f t="shared" ref="I39" si="13">I38/I$22</f>
        <v>4.4211591348197899E-3</v>
      </c>
      <c r="J39" s="87">
        <f t="shared" ref="J39" si="14">J38/J$22</f>
        <v>-2.0185970750328523E-3</v>
      </c>
      <c r="K39" s="87"/>
      <c r="L39" s="87"/>
      <c r="M39" s="87"/>
      <c r="N39" s="87"/>
      <c r="O39" s="89"/>
      <c r="P39" s="89"/>
      <c r="Q39" s="89"/>
      <c r="R39" s="89"/>
      <c r="S39" s="89"/>
    </row>
    <row r="40" spans="1:19" x14ac:dyDescent="0.3">
      <c r="A40" s="24"/>
      <c r="B40" s="92" t="s">
        <v>107</v>
      </c>
      <c r="C40" s="92"/>
      <c r="E40" s="95"/>
      <c r="F40" s="85">
        <f>F38/(F22-E22)</f>
        <v>0.19318030161484051</v>
      </c>
      <c r="G40" s="85">
        <f t="shared" ref="G40:J40" si="15">G38/(G22-F22)</f>
        <v>4.9973732597846071E-2</v>
      </c>
      <c r="H40" s="85">
        <f t="shared" si="15"/>
        <v>6.1424859838643514E-2</v>
      </c>
      <c r="I40" s="85">
        <f t="shared" si="15"/>
        <v>3.4618626211546565E-2</v>
      </c>
      <c r="J40" s="85">
        <f t="shared" si="15"/>
        <v>-2.8196538246789502E-2</v>
      </c>
      <c r="K40" s="85"/>
      <c r="L40" s="85"/>
      <c r="M40" s="85"/>
      <c r="N40" s="85"/>
    </row>
    <row r="41" spans="1:19" x14ac:dyDescent="0.3">
      <c r="K41">
        <v>1</v>
      </c>
      <c r="L41">
        <f>K41+1</f>
        <v>2</v>
      </c>
      <c r="M41">
        <f t="shared" ref="M41:P41" si="16">L41+1</f>
        <v>3</v>
      </c>
      <c r="N41">
        <f t="shared" si="16"/>
        <v>4</v>
      </c>
      <c r="O41">
        <f t="shared" si="16"/>
        <v>5</v>
      </c>
      <c r="P41">
        <f t="shared" si="16"/>
        <v>6</v>
      </c>
    </row>
    <row r="42" spans="1:19" x14ac:dyDescent="0.3">
      <c r="A42" s="24" t="s">
        <v>3</v>
      </c>
      <c r="B42" s="27" t="s">
        <v>108</v>
      </c>
      <c r="C42" s="27"/>
      <c r="D42" s="27"/>
      <c r="E42" s="79">
        <v>2019</v>
      </c>
      <c r="F42" s="79">
        <f>E42+1</f>
        <v>2020</v>
      </c>
      <c r="G42" s="79">
        <f t="shared" ref="G42:P42" si="17">F42+1</f>
        <v>2021</v>
      </c>
      <c r="H42" s="79">
        <f t="shared" si="17"/>
        <v>2022</v>
      </c>
      <c r="I42" s="79">
        <f t="shared" si="17"/>
        <v>2023</v>
      </c>
      <c r="J42" s="79">
        <f t="shared" si="17"/>
        <v>2024</v>
      </c>
      <c r="K42" s="80">
        <f t="shared" si="17"/>
        <v>2025</v>
      </c>
      <c r="L42" s="80">
        <f t="shared" si="17"/>
        <v>2026</v>
      </c>
      <c r="M42" s="80">
        <f t="shared" si="17"/>
        <v>2027</v>
      </c>
      <c r="N42" s="80">
        <f t="shared" si="17"/>
        <v>2028</v>
      </c>
      <c r="O42" s="80">
        <f t="shared" si="17"/>
        <v>2029</v>
      </c>
      <c r="P42" s="80">
        <f t="shared" si="17"/>
        <v>2030</v>
      </c>
    </row>
    <row r="43" spans="1:19" x14ac:dyDescent="0.3">
      <c r="B43" t="s">
        <v>96</v>
      </c>
      <c r="E43" s="96">
        <f>E22</f>
        <v>242155</v>
      </c>
      <c r="F43" s="96">
        <f t="shared" ref="F43:J43" si="18">F22</f>
        <v>257141</v>
      </c>
      <c r="G43" s="96">
        <f t="shared" si="18"/>
        <v>287597</v>
      </c>
      <c r="H43" s="96">
        <f t="shared" si="18"/>
        <v>324162</v>
      </c>
      <c r="I43" s="96">
        <f t="shared" si="18"/>
        <v>371622</v>
      </c>
      <c r="J43" s="96">
        <f t="shared" si="18"/>
        <v>400278</v>
      </c>
      <c r="K43" s="97">
        <f ca="1">J43*(1+K44)</f>
        <v>447439.99999999994</v>
      </c>
      <c r="L43" s="97">
        <f t="shared" ref="L43:P43" ca="1" si="19">K43*(1+L44)</f>
        <v>453200.99999999994</v>
      </c>
      <c r="M43" s="97">
        <f t="shared" ca="1" si="19"/>
        <v>477360.99999999994</v>
      </c>
      <c r="N43" s="97">
        <f t="shared" ca="1" si="19"/>
        <v>501536.56376089196</v>
      </c>
      <c r="O43" s="97">
        <f t="shared" ca="1" si="19"/>
        <v>525666.48371002707</v>
      </c>
      <c r="P43" s="97">
        <f t="shared" ca="1" si="19"/>
        <v>549692.79910548416</v>
      </c>
    </row>
    <row r="44" spans="1:19" x14ac:dyDescent="0.3">
      <c r="B44" s="83" t="s">
        <v>100</v>
      </c>
      <c r="E44" s="98"/>
      <c r="F44" s="87">
        <f>F43/E43-1</f>
        <v>6.1885982118890848E-2</v>
      </c>
      <c r="G44" s="87">
        <f t="shared" ref="G44:J44" si="20">G43/F43-1</f>
        <v>0.11844085540617799</v>
      </c>
      <c r="H44" s="87">
        <f t="shared" si="20"/>
        <v>0.12713971286209524</v>
      </c>
      <c r="I44" s="87">
        <f t="shared" si="20"/>
        <v>0.14640827734281014</v>
      </c>
      <c r="J44" s="87">
        <f t="shared" si="20"/>
        <v>7.7110612396467326E-2</v>
      </c>
      <c r="K44" s="99">
        <f ca="1">OFFSET(K44,$E$12,0)</f>
        <v>0.11782311293650904</v>
      </c>
      <c r="L44" s="99">
        <f t="shared" ref="L44:P44" ca="1" si="21">OFFSET(L44,$E$12,0)</f>
        <v>1.2875469336670831E-2</v>
      </c>
      <c r="M44" s="99">
        <f t="shared" ca="1" si="21"/>
        <v>5.3309679369639484E-2</v>
      </c>
      <c r="N44" s="99">
        <f t="shared" ca="1" si="21"/>
        <v>5.0644195401157506E-2</v>
      </c>
      <c r="O44" s="99">
        <f t="shared" ca="1" si="21"/>
        <v>4.8111985631099627E-2</v>
      </c>
      <c r="P44" s="99">
        <f t="shared" ca="1" si="21"/>
        <v>4.5706386349544645E-2</v>
      </c>
    </row>
    <row r="45" spans="1:19" x14ac:dyDescent="0.3">
      <c r="B45" s="83" t="s">
        <v>91</v>
      </c>
      <c r="K45" s="100">
        <f>$K$23</f>
        <v>0.11782311293650904</v>
      </c>
      <c r="L45" s="128">
        <f>L46*$J$12</f>
        <v>1.0944148936170206E-2</v>
      </c>
      <c r="M45" s="128">
        <f>M46*$J$12</f>
        <v>4.5313227464193563E-2</v>
      </c>
      <c r="N45" s="110">
        <f>M45*(1+$J$13)</f>
        <v>4.0781904717774209E-2</v>
      </c>
      <c r="O45" s="110">
        <f t="shared" ref="O45:P45" si="22">N45*(1+$J$13)</f>
        <v>3.6703714245996791E-2</v>
      </c>
      <c r="P45" s="110">
        <f t="shared" si="22"/>
        <v>3.303334282139711E-2</v>
      </c>
    </row>
    <row r="46" spans="1:19" x14ac:dyDescent="0.3">
      <c r="B46" s="83" t="s">
        <v>109</v>
      </c>
      <c r="K46" s="100">
        <f t="shared" ref="K46:K47" si="23">$K$23</f>
        <v>0.11782311293650904</v>
      </c>
      <c r="L46" s="100">
        <f>L23</f>
        <v>1.2875469336670831E-2</v>
      </c>
      <c r="M46" s="100">
        <f>M23</f>
        <v>5.3309679369639484E-2</v>
      </c>
      <c r="N46" s="110">
        <f>M46*(1+$O$13)</f>
        <v>5.0644195401157506E-2</v>
      </c>
      <c r="O46" s="110">
        <f t="shared" ref="O46:P46" si="24">N46*(1+$O$13)</f>
        <v>4.8111985631099627E-2</v>
      </c>
      <c r="P46" s="110">
        <f t="shared" si="24"/>
        <v>4.5706386349544645E-2</v>
      </c>
    </row>
    <row r="47" spans="1:19" x14ac:dyDescent="0.3">
      <c r="B47" s="83" t="s">
        <v>93</v>
      </c>
      <c r="K47" s="100">
        <f t="shared" si="23"/>
        <v>0.11782311293650904</v>
      </c>
      <c r="L47" s="128">
        <f>L46*$T$12</f>
        <v>1.4806789737171455E-2</v>
      </c>
      <c r="M47" s="128">
        <f>M46*$T$12</f>
        <v>6.1306131275085406E-2</v>
      </c>
      <c r="N47" s="129">
        <f>M47*(1+$T$13)</f>
        <v>5.9773477993208271E-2</v>
      </c>
      <c r="O47" s="129">
        <f t="shared" ref="O47:P47" si="25">N47*(1+$T$13)</f>
        <v>5.8279141043378065E-2</v>
      </c>
      <c r="P47" s="129">
        <f t="shared" si="25"/>
        <v>5.6822162517293613E-2</v>
      </c>
    </row>
    <row r="49" spans="2:16" x14ac:dyDescent="0.3">
      <c r="B49" t="s">
        <v>97</v>
      </c>
      <c r="E49" s="96">
        <f>E25</f>
        <v>19685</v>
      </c>
      <c r="F49" s="96">
        <f t="shared" ref="F49:J49" si="26">F25</f>
        <v>22405</v>
      </c>
      <c r="G49" s="96">
        <f t="shared" si="26"/>
        <v>23970</v>
      </c>
      <c r="H49" s="96">
        <f t="shared" si="26"/>
        <v>28435</v>
      </c>
      <c r="I49" s="96">
        <f t="shared" si="26"/>
        <v>32358</v>
      </c>
      <c r="J49" s="96">
        <f t="shared" si="26"/>
        <v>32287</v>
      </c>
      <c r="K49" s="97">
        <f ca="1">K50*K43</f>
        <v>22264.499999999996</v>
      </c>
      <c r="L49" s="97">
        <f t="shared" ref="L49:P49" ca="1" si="27">L50*L43</f>
        <v>24113.799999999996</v>
      </c>
      <c r="M49" s="97">
        <f t="shared" ca="1" si="27"/>
        <v>27545.399999999998</v>
      </c>
      <c r="N49" s="97">
        <f t="shared" ca="1" si="27"/>
        <v>30966.243643403261</v>
      </c>
      <c r="O49" s="97">
        <f t="shared" ca="1" si="27"/>
        <v>34728.017490507482</v>
      </c>
      <c r="P49" s="97">
        <f t="shared" ca="1" si="27"/>
        <v>38857.381352338118</v>
      </c>
    </row>
    <row r="50" spans="2:16" x14ac:dyDescent="0.3">
      <c r="B50" s="83" t="s">
        <v>101</v>
      </c>
      <c r="E50" s="87">
        <f>E49/E$43</f>
        <v>8.1290908715492147E-2</v>
      </c>
      <c r="F50" s="87">
        <f t="shared" ref="F50:J50" si="28">F49/F$43</f>
        <v>8.7131184836334932E-2</v>
      </c>
      <c r="G50" s="87">
        <f t="shared" si="28"/>
        <v>8.3345792897700596E-2</v>
      </c>
      <c r="H50" s="87">
        <f t="shared" si="28"/>
        <v>8.7718486435794454E-2</v>
      </c>
      <c r="I50" s="87">
        <f t="shared" si="28"/>
        <v>8.7072347708155057E-2</v>
      </c>
      <c r="J50" s="87">
        <f t="shared" si="28"/>
        <v>8.0661440298992207E-2</v>
      </c>
      <c r="K50" s="99">
        <f ca="1">OFFSET(K50,$E$13,0)</f>
        <v>4.9759744323261218E-2</v>
      </c>
      <c r="L50" s="99">
        <f t="shared" ref="L50:P50" ca="1" si="29">OFFSET(L50,$E$13,0)</f>
        <v>5.3207737847003868E-2</v>
      </c>
      <c r="M50" s="99">
        <f t="shared" ca="1" si="29"/>
        <v>5.770349902903673E-2</v>
      </c>
      <c r="N50" s="99">
        <f t="shared" ca="1" si="29"/>
        <v>6.1742743961069303E-2</v>
      </c>
      <c r="O50" s="99">
        <f t="shared" ca="1" si="29"/>
        <v>6.606473603834416E-2</v>
      </c>
      <c r="P50" s="99">
        <f t="shared" ca="1" si="29"/>
        <v>7.0689267561028252E-2</v>
      </c>
    </row>
    <row r="51" spans="2:16" x14ac:dyDescent="0.3">
      <c r="B51" s="83" t="s">
        <v>91</v>
      </c>
      <c r="K51" s="100">
        <f>$K$26</f>
        <v>4.9759744323261218E-2</v>
      </c>
      <c r="L51" s="128">
        <f>L52*$J$14</f>
        <v>5.0547350954653673E-2</v>
      </c>
      <c r="M51" s="128">
        <f>M52*$J$14</f>
        <v>5.4818324077584892E-2</v>
      </c>
      <c r="N51" s="110">
        <f>M51*(1+$J$15)</f>
        <v>5.783333190185206E-2</v>
      </c>
      <c r="O51" s="110">
        <f t="shared" ref="O51:P51" si="30">N51*(1+$J$15)</f>
        <v>6.1014165156453921E-2</v>
      </c>
      <c r="P51" s="110">
        <f t="shared" si="30"/>
        <v>6.4369944240058888E-2</v>
      </c>
    </row>
    <row r="52" spans="2:16" x14ac:dyDescent="0.3">
      <c r="B52" s="83" t="s">
        <v>109</v>
      </c>
      <c r="K52" s="100">
        <f>$K$26</f>
        <v>4.9759744323261218E-2</v>
      </c>
      <c r="L52" s="100">
        <f t="shared" ref="L52:M52" si="31">L26</f>
        <v>5.3207737847003868E-2</v>
      </c>
      <c r="M52" s="100">
        <f t="shared" si="31"/>
        <v>5.770349902903673E-2</v>
      </c>
      <c r="N52" s="110">
        <f>M52*(1+$O$15)</f>
        <v>6.1742743961069303E-2</v>
      </c>
      <c r="O52" s="110">
        <f t="shared" ref="O52:P52" si="32">N52*(1+$O$15)</f>
        <v>6.606473603834416E-2</v>
      </c>
      <c r="P52" s="110">
        <f t="shared" si="32"/>
        <v>7.0689267561028252E-2</v>
      </c>
    </row>
    <row r="53" spans="2:16" x14ac:dyDescent="0.3">
      <c r="B53" s="83" t="s">
        <v>93</v>
      </c>
      <c r="K53" s="100">
        <f>$K$26</f>
        <v>4.9759744323261218E-2</v>
      </c>
      <c r="L53" s="128">
        <f>L52*$T$14</f>
        <v>5.5868124739354062E-2</v>
      </c>
      <c r="M53" s="128">
        <f>M52*$T$14</f>
        <v>6.0588673980488568E-2</v>
      </c>
      <c r="N53" s="110">
        <f>M53*(1+$T$15)</f>
        <v>6.5738711268830088E-2</v>
      </c>
      <c r="O53" s="110">
        <f t="shared" ref="O53:P53" si="33">N53*(1+$T$15)</f>
        <v>7.1326501726680647E-2</v>
      </c>
      <c r="P53" s="110">
        <f t="shared" si="33"/>
        <v>7.7389254373448499E-2</v>
      </c>
    </row>
    <row r="55" spans="2:16" x14ac:dyDescent="0.3">
      <c r="B55" t="s">
        <v>102</v>
      </c>
      <c r="E55" s="96">
        <f>E28</f>
        <v>3742</v>
      </c>
      <c r="F55" s="96">
        <f t="shared" ref="F55:J55" si="34">F28</f>
        <v>4973</v>
      </c>
      <c r="G55" s="96">
        <f t="shared" si="34"/>
        <v>4578</v>
      </c>
      <c r="H55" s="96">
        <f t="shared" si="34"/>
        <v>5704</v>
      </c>
      <c r="I55" s="96">
        <f t="shared" si="34"/>
        <v>5968</v>
      </c>
      <c r="J55" s="96">
        <f t="shared" si="34"/>
        <v>4829</v>
      </c>
      <c r="K55" s="97">
        <f ca="1">K56*K49</f>
        <v>4219.333953034029</v>
      </c>
      <c r="L55" s="97">
        <f t="shared" ref="L55:P55" ca="1" si="35">L56*L49</f>
        <v>4569.7938456588718</v>
      </c>
      <c r="M55" s="97">
        <f t="shared" ca="1" si="35"/>
        <v>5220.114598122731</v>
      </c>
      <c r="N55" s="97">
        <f t="shared" ca="1" si="35"/>
        <v>5868.396918975749</v>
      </c>
      <c r="O55" s="97">
        <f t="shared" ca="1" si="35"/>
        <v>6581.2887475244379</v>
      </c>
      <c r="P55" s="97">
        <f t="shared" ca="1" si="35"/>
        <v>7363.8423708554683</v>
      </c>
    </row>
    <row r="56" spans="2:16" x14ac:dyDescent="0.3">
      <c r="B56" s="83" t="s">
        <v>103</v>
      </c>
      <c r="E56" s="98">
        <f>E55/E49</f>
        <v>0.19009398018796037</v>
      </c>
      <c r="F56" s="98">
        <f t="shared" ref="F56:J56" si="36">F55/F49</f>
        <v>0.2219593840660567</v>
      </c>
      <c r="G56" s="98">
        <f t="shared" si="36"/>
        <v>0.19098873591989987</v>
      </c>
      <c r="H56" s="98">
        <f t="shared" si="36"/>
        <v>0.20059785475646211</v>
      </c>
      <c r="I56" s="98">
        <f t="shared" si="36"/>
        <v>0.18443661536559738</v>
      </c>
      <c r="J56" s="98">
        <f t="shared" si="36"/>
        <v>0.14956484033821663</v>
      </c>
      <c r="K56" s="130">
        <f>AVERAGE(F56:J56)</f>
        <v>0.18950948608924653</v>
      </c>
      <c r="L56" s="98">
        <f>K56</f>
        <v>0.18950948608924653</v>
      </c>
      <c r="M56" s="98">
        <f t="shared" ref="M56:P56" si="37">L56</f>
        <v>0.18950948608924653</v>
      </c>
      <c r="N56" s="98">
        <f t="shared" si="37"/>
        <v>0.18950948608924653</v>
      </c>
      <c r="O56" s="98">
        <f t="shared" si="37"/>
        <v>0.18950948608924653</v>
      </c>
      <c r="P56" s="98">
        <f t="shared" si="37"/>
        <v>0.18950948608924653</v>
      </c>
    </row>
    <row r="58" spans="2:16" x14ac:dyDescent="0.3">
      <c r="B58" s="101" t="s">
        <v>110</v>
      </c>
      <c r="C58" s="102"/>
      <c r="D58" s="102"/>
      <c r="E58" s="102"/>
      <c r="F58" s="102"/>
      <c r="G58" s="102"/>
      <c r="H58" s="102"/>
      <c r="I58" s="102"/>
      <c r="J58" s="102"/>
      <c r="K58" s="103">
        <f ca="1">K49-K55</f>
        <v>18045.166046965969</v>
      </c>
      <c r="L58" s="103">
        <f t="shared" ref="L58:P58" ca="1" si="38">L49-L55</f>
        <v>19544.006154341125</v>
      </c>
      <c r="M58" s="103">
        <f t="shared" ca="1" si="38"/>
        <v>22325.285401877267</v>
      </c>
      <c r="N58" s="103">
        <f t="shared" ca="1" si="38"/>
        <v>25097.846724427513</v>
      </c>
      <c r="O58" s="103">
        <f t="shared" ca="1" si="38"/>
        <v>28146.728742983043</v>
      </c>
      <c r="P58" s="104">
        <f t="shared" ca="1" si="38"/>
        <v>31493.538981482649</v>
      </c>
    </row>
    <row r="60" spans="2:16" x14ac:dyDescent="0.3">
      <c r="B60" t="s">
        <v>104</v>
      </c>
      <c r="E60" s="96">
        <f>E32</f>
        <v>2720</v>
      </c>
      <c r="F60" s="96">
        <f t="shared" ref="F60:J60" si="39">F32</f>
        <v>2891</v>
      </c>
      <c r="G60" s="96">
        <f t="shared" si="39"/>
        <v>3103</v>
      </c>
      <c r="H60" s="96">
        <f t="shared" si="39"/>
        <v>3400</v>
      </c>
      <c r="I60" s="96">
        <f t="shared" si="39"/>
        <v>3972</v>
      </c>
      <c r="J60" s="96">
        <f t="shared" si="39"/>
        <v>4099</v>
      </c>
      <c r="K60" s="97">
        <f ca="1">K61*K$43</f>
        <v>4783.0895748602652</v>
      </c>
      <c r="L60" s="97">
        <f t="shared" ref="L60:P60" ca="1" si="40">L61*L$43</f>
        <v>4844.6740980159284</v>
      </c>
      <c r="M60" s="97">
        <f t="shared" ca="1" si="40"/>
        <v>5102.9421208315553</v>
      </c>
      <c r="N60" s="97">
        <f t="shared" ca="1" si="40"/>
        <v>5361.3765187197469</v>
      </c>
      <c r="O60" s="97">
        <f t="shared" ca="1" si="40"/>
        <v>5619.3229887513062</v>
      </c>
      <c r="P60" s="97">
        <f t="shared" ca="1" si="40"/>
        <v>5876.1619362980509</v>
      </c>
    </row>
    <row r="61" spans="2:16" x14ac:dyDescent="0.3">
      <c r="B61" t="s">
        <v>101</v>
      </c>
      <c r="E61" s="87">
        <f>E60/E$43</f>
        <v>1.1232475067621978E-2</v>
      </c>
      <c r="F61" s="87">
        <f t="shared" ref="F61:J61" si="41">F60/F$43</f>
        <v>1.1242858976203716E-2</v>
      </c>
      <c r="G61" s="87">
        <f t="shared" si="41"/>
        <v>1.0789403227432831E-2</v>
      </c>
      <c r="H61" s="87">
        <f t="shared" si="41"/>
        <v>1.0488582869059298E-2</v>
      </c>
      <c r="I61" s="87">
        <f t="shared" si="41"/>
        <v>1.0688280026478519E-2</v>
      </c>
      <c r="J61" s="87">
        <f t="shared" si="41"/>
        <v>1.0240382933860967E-2</v>
      </c>
      <c r="K61" s="130">
        <f>AVERAGE(F61:J61)</f>
        <v>1.0689901606607067E-2</v>
      </c>
      <c r="L61" s="98">
        <f>K61</f>
        <v>1.0689901606607067E-2</v>
      </c>
      <c r="M61" s="98">
        <f t="shared" ref="M61:P61" si="42">L61</f>
        <v>1.0689901606607067E-2</v>
      </c>
      <c r="N61" s="98">
        <f t="shared" si="42"/>
        <v>1.0689901606607067E-2</v>
      </c>
      <c r="O61" s="98">
        <f t="shared" si="42"/>
        <v>1.0689901606607067E-2</v>
      </c>
      <c r="P61" s="98">
        <f t="shared" si="42"/>
        <v>1.0689901606607067E-2</v>
      </c>
    </row>
    <row r="63" spans="2:16" x14ac:dyDescent="0.3">
      <c r="B63" t="s">
        <v>105</v>
      </c>
      <c r="E63" s="96">
        <f>E35</f>
        <v>2071</v>
      </c>
      <c r="F63" s="96">
        <f t="shared" ref="F63:J63" si="43">F35</f>
        <v>2051</v>
      </c>
      <c r="G63" s="96">
        <f t="shared" si="43"/>
        <v>2454</v>
      </c>
      <c r="H63" s="96">
        <f t="shared" si="43"/>
        <v>2802</v>
      </c>
      <c r="I63" s="96">
        <f t="shared" si="43"/>
        <v>3386</v>
      </c>
      <c r="J63" s="96">
        <f t="shared" si="43"/>
        <v>3499</v>
      </c>
      <c r="K63" s="97">
        <f ca="1">K64*K$43</f>
        <v>3848.485298959667</v>
      </c>
      <c r="L63" s="97">
        <f t="shared" ref="L63" ca="1" si="44">L64*L$43</f>
        <v>3898.036353419051</v>
      </c>
      <c r="M63" s="97">
        <f t="shared" ref="M63" ca="1" si="45">M64*M$43</f>
        <v>4105.8394215910193</v>
      </c>
      <c r="N63" s="97">
        <f t="shared" ref="N63" ca="1" si="46">N64*N$43</f>
        <v>4313.7763555438514</v>
      </c>
      <c r="O63" s="97">
        <f t="shared" ref="O63" ca="1" si="47">O64*O$43</f>
        <v>4521.3207015775542</v>
      </c>
      <c r="P63" s="97">
        <f t="shared" ref="P63" ca="1" si="48">P64*P$43</f>
        <v>4727.9739323740514</v>
      </c>
    </row>
    <row r="64" spans="2:16" x14ac:dyDescent="0.3">
      <c r="B64" s="92" t="s">
        <v>101</v>
      </c>
      <c r="E64" s="87">
        <f>E63/E$43</f>
        <v>8.5523734797959983E-3</v>
      </c>
      <c r="F64" s="87">
        <f t="shared" ref="F64" si="49">F63/F$43</f>
        <v>7.9761687167740659E-3</v>
      </c>
      <c r="G64" s="87">
        <f t="shared" ref="G64" si="50">G63/G$43</f>
        <v>8.5327732904028897E-3</v>
      </c>
      <c r="H64" s="87">
        <f t="shared" ref="H64" si="51">H63/H$43</f>
        <v>8.6438262350306324E-3</v>
      </c>
      <c r="I64" s="87">
        <f t="shared" ref="I64" si="52">I63/I$43</f>
        <v>9.1114089047472976E-3</v>
      </c>
      <c r="J64" s="87">
        <f t="shared" ref="J64" si="53">J63/J$43</f>
        <v>8.7414247098266708E-3</v>
      </c>
      <c r="K64" s="130">
        <f>AVERAGE(F64:J64)</f>
        <v>8.6011203713563106E-3</v>
      </c>
      <c r="L64" s="98">
        <f>K64</f>
        <v>8.6011203713563106E-3</v>
      </c>
      <c r="M64" s="98">
        <f t="shared" ref="M64:P64" si="54">L64</f>
        <v>8.6011203713563106E-3</v>
      </c>
      <c r="N64" s="98">
        <f t="shared" si="54"/>
        <v>8.6011203713563106E-3</v>
      </c>
      <c r="O64" s="98">
        <f t="shared" si="54"/>
        <v>8.6011203713563106E-3</v>
      </c>
      <c r="P64" s="98">
        <f t="shared" si="54"/>
        <v>8.6011203713563106E-3</v>
      </c>
    </row>
    <row r="66" spans="2:16" x14ac:dyDescent="0.3">
      <c r="B66" t="s">
        <v>106</v>
      </c>
      <c r="E66" s="96">
        <f>E38</f>
        <v>683</v>
      </c>
      <c r="F66" s="96">
        <f t="shared" ref="F66:J66" si="55">F38</f>
        <v>2895</v>
      </c>
      <c r="G66" s="96">
        <f t="shared" si="55"/>
        <v>1522</v>
      </c>
      <c r="H66" s="96">
        <f t="shared" si="55"/>
        <v>2246</v>
      </c>
      <c r="I66" s="96">
        <f t="shared" si="55"/>
        <v>1643</v>
      </c>
      <c r="J66" s="96">
        <f t="shared" si="55"/>
        <v>-808</v>
      </c>
      <c r="K66" s="97">
        <f ca="1">K67*K$43</f>
        <v>2316.1050307963073</v>
      </c>
      <c r="L66" s="97">
        <f t="shared" ref="L66" ca="1" si="56">L67*L$43</f>
        <v>2345.9259701008345</v>
      </c>
      <c r="M66" s="97">
        <f t="shared" ref="M66" ca="1" si="57">M67*M$43</f>
        <v>2470.9865313918203</v>
      </c>
      <c r="N66" s="97">
        <f t="shared" ref="N66" ca="1" si="58">N67*N$43</f>
        <v>2596.1276561212567</v>
      </c>
      <c r="O66" s="97">
        <f t="shared" ref="O66" ca="1" si="59">O67*O$43</f>
        <v>2721.0325126090629</v>
      </c>
      <c r="P66" s="97">
        <f t="shared" ref="P66" ca="1" si="60">P67*P$43</f>
        <v>2845.4010759000448</v>
      </c>
    </row>
    <row r="67" spans="2:16" x14ac:dyDescent="0.3">
      <c r="B67" s="92" t="s">
        <v>101</v>
      </c>
      <c r="E67" s="87">
        <f>E66/E$43</f>
        <v>2.820507526171254E-3</v>
      </c>
      <c r="F67" s="87">
        <f t="shared" ref="F67" si="61">F66/F$43</f>
        <v>1.1258414644105763E-2</v>
      </c>
      <c r="G67" s="87">
        <f t="shared" ref="G67" si="62">G66/G$43</f>
        <v>5.2921275256696005E-3</v>
      </c>
      <c r="H67" s="87">
        <f t="shared" ref="H67" si="63">H66/H$43</f>
        <v>6.9286344482079945E-3</v>
      </c>
      <c r="I67" s="87">
        <f t="shared" ref="I67" si="64">I66/I$43</f>
        <v>4.4211591348197899E-3</v>
      </c>
      <c r="J67" s="87">
        <f t="shared" ref="J67" si="65">J66/J$43</f>
        <v>-2.0185970750328523E-3</v>
      </c>
      <c r="K67" s="130">
        <f>AVERAGE(F67:J67)</f>
        <v>5.1763477355540582E-3</v>
      </c>
      <c r="L67" s="98">
        <f>K67</f>
        <v>5.1763477355540582E-3</v>
      </c>
      <c r="M67" s="98">
        <f t="shared" ref="M67:P67" si="66">L67</f>
        <v>5.1763477355540582E-3</v>
      </c>
      <c r="N67" s="98">
        <f t="shared" si="66"/>
        <v>5.1763477355540582E-3</v>
      </c>
      <c r="O67" s="98">
        <f t="shared" si="66"/>
        <v>5.1763477355540582E-3</v>
      </c>
      <c r="P67" s="98">
        <f t="shared" si="66"/>
        <v>5.1763477355540582E-3</v>
      </c>
    </row>
    <row r="69" spans="2:16" x14ac:dyDescent="0.3">
      <c r="B69" s="132" t="s">
        <v>111</v>
      </c>
      <c r="C69" s="133"/>
      <c r="D69" s="133"/>
      <c r="E69" s="133"/>
      <c r="F69" s="133"/>
      <c r="G69" s="133"/>
      <c r="H69" s="133"/>
      <c r="I69" s="133"/>
      <c r="J69" s="133"/>
      <c r="K69" s="134">
        <f ca="1">K58+K60-K63-K66</f>
        <v>16663.665292070258</v>
      </c>
      <c r="L69" s="134">
        <f t="shared" ref="L69:P69" ca="1" si="67">L58+L60-L63-L66</f>
        <v>18144.717928837166</v>
      </c>
      <c r="M69" s="134">
        <f t="shared" ca="1" si="67"/>
        <v>20851.401569725982</v>
      </c>
      <c r="N69" s="134">
        <f t="shared" ca="1" si="67"/>
        <v>23549.31923148215</v>
      </c>
      <c r="O69" s="134">
        <f t="shared" ca="1" si="67"/>
        <v>26523.698517547731</v>
      </c>
      <c r="P69" s="135">
        <f t="shared" ca="1" si="67"/>
        <v>29796.325909506602</v>
      </c>
    </row>
    <row r="70" spans="2:16" x14ac:dyDescent="0.3">
      <c r="B70" s="136" t="s">
        <v>112</v>
      </c>
      <c r="C70" s="22"/>
      <c r="D70" s="22"/>
      <c r="E70" s="22"/>
      <c r="F70" s="22"/>
      <c r="G70" s="22"/>
      <c r="H70" s="22"/>
      <c r="I70" s="22"/>
      <c r="J70" s="22"/>
      <c r="K70" s="137" t="e">
        <f ca="1">(K69*K72)/(1+wacc)^K73</f>
        <v>#REF!</v>
      </c>
      <c r="L70" s="137" t="e">
        <f ca="1">L69/(1+wacc)^L73</f>
        <v>#REF!</v>
      </c>
      <c r="M70" s="137" t="e">
        <f ca="1">M69/(1+wacc)^M73</f>
        <v>#REF!</v>
      </c>
      <c r="N70" s="137" t="e">
        <f ca="1">N69/(1+wacc)^N73</f>
        <v>#REF!</v>
      </c>
      <c r="O70" s="137" t="e">
        <f ca="1">O69/(1+wacc)^O73</f>
        <v>#REF!</v>
      </c>
      <c r="P70" s="138" t="e">
        <f ca="1">P69/(1+wacc)^P73</f>
        <v>#REF!</v>
      </c>
    </row>
    <row r="72" spans="2:16" x14ac:dyDescent="0.3">
      <c r="B72" t="s">
        <v>113</v>
      </c>
      <c r="K72" s="131">
        <f>YEARFRAC(C5,C6)</f>
        <v>5.8333333333333334E-2</v>
      </c>
      <c r="L72" s="69"/>
      <c r="M72" s="69"/>
      <c r="N72" s="69"/>
      <c r="O72" s="69"/>
      <c r="P72" s="69"/>
    </row>
    <row r="73" spans="2:16" x14ac:dyDescent="0.3">
      <c r="B73" t="s">
        <v>114</v>
      </c>
      <c r="K73" s="131">
        <f>K72/2</f>
        <v>2.9166666666666667E-2</v>
      </c>
      <c r="L73" s="69">
        <f>K72+0.5</f>
        <v>0.55833333333333335</v>
      </c>
      <c r="M73" s="69">
        <f>L73+1</f>
        <v>1.5583333333333333</v>
      </c>
      <c r="N73" s="69">
        <f t="shared" ref="N73:P73" si="68">M73+1</f>
        <v>2.5583333333333336</v>
      </c>
      <c r="O73" s="69">
        <f t="shared" si="68"/>
        <v>3.5583333333333336</v>
      </c>
      <c r="P73" s="69">
        <f t="shared" si="68"/>
        <v>4.5583333333333336</v>
      </c>
    </row>
    <row r="75" spans="2:16" x14ac:dyDescent="0.3">
      <c r="B75" t="s">
        <v>115</v>
      </c>
      <c r="P75" s="105" t="e">
        <f ca="1">(P69*(1+tgr))/(wacc-tgr)</f>
        <v>#REF!</v>
      </c>
    </row>
    <row r="76" spans="2:16" x14ac:dyDescent="0.3">
      <c r="B76" t="s">
        <v>116</v>
      </c>
      <c r="P76" s="105" t="e">
        <f ca="1">P75/(1+wacc)^P73</f>
        <v>#REF!</v>
      </c>
    </row>
    <row r="78" spans="2:16" x14ac:dyDescent="0.3">
      <c r="B78" t="s">
        <v>117</v>
      </c>
      <c r="P78" s="105" t="e">
        <f ca="1">SUM(K70:P70,P76)</f>
        <v>#REF!</v>
      </c>
    </row>
    <row r="79" spans="2:16" x14ac:dyDescent="0.3">
      <c r="B79" t="s">
        <v>118</v>
      </c>
      <c r="P79" s="106">
        <f>27210+3404</f>
        <v>30614</v>
      </c>
    </row>
    <row r="80" spans="2:16" x14ac:dyDescent="0.3">
      <c r="B80" t="s">
        <v>119</v>
      </c>
      <c r="P80" s="107" t="e">
        <f>WACC!#REF!</f>
        <v>#REF!</v>
      </c>
    </row>
    <row r="81" spans="1:16" x14ac:dyDescent="0.3">
      <c r="B81" t="s">
        <v>120</v>
      </c>
      <c r="P81" s="105" t="e">
        <f ca="1">P78+P79-P80</f>
        <v>#REF!</v>
      </c>
    </row>
    <row r="83" spans="1:16" x14ac:dyDescent="0.3">
      <c r="B83" t="s">
        <v>121</v>
      </c>
      <c r="P83" s="105" t="e">
        <f>Shares!E16</f>
        <v>#REF!</v>
      </c>
    </row>
    <row r="84" spans="1:16" x14ac:dyDescent="0.3">
      <c r="A84" t="s">
        <v>3</v>
      </c>
      <c r="B84" t="s">
        <v>122</v>
      </c>
      <c r="P84" s="69" t="e">
        <f ca="1">P81/P83</f>
        <v>#REF!</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B9A1-80D5-4C20-BE00-644D660A4104}">
  <dimension ref="A2:G32"/>
  <sheetViews>
    <sheetView showGridLines="0" tabSelected="1" zoomScale="175" zoomScaleNormal="175" workbookViewId="0">
      <selection activeCell="G4" sqref="G4"/>
    </sheetView>
  </sheetViews>
  <sheetFormatPr defaultRowHeight="14.4" x14ac:dyDescent="0.3"/>
  <cols>
    <col min="1" max="1" width="3.5546875" style="24" customWidth="1"/>
    <col min="2" max="2" width="36.5546875" bestFit="1" customWidth="1"/>
    <col min="3" max="4" width="15.77734375" customWidth="1"/>
    <col min="5" max="5" width="17" bestFit="1" customWidth="1"/>
  </cols>
  <sheetData>
    <row r="2" spans="1:7" s="22" customFormat="1" ht="21" x14ac:dyDescent="0.4">
      <c r="A2" s="26"/>
      <c r="B2" s="23" t="s">
        <v>14</v>
      </c>
    </row>
    <row r="3" spans="1:7" x14ac:dyDescent="0.3">
      <c r="B3" s="28"/>
    </row>
    <row r="4" spans="1:7" x14ac:dyDescent="0.3">
      <c r="A4" s="24" t="s">
        <v>3</v>
      </c>
      <c r="B4" s="29" t="s">
        <v>15</v>
      </c>
      <c r="C4" s="30"/>
      <c r="D4" s="30"/>
      <c r="E4" s="30"/>
    </row>
    <row r="5" spans="1:7" ht="5.0999999999999996" customHeight="1" x14ac:dyDescent="0.3">
      <c r="B5" s="31"/>
      <c r="C5" s="32"/>
      <c r="D5" s="32"/>
      <c r="E5" s="32"/>
    </row>
    <row r="6" spans="1:7" x14ac:dyDescent="0.3">
      <c r="B6" s="33" t="s">
        <v>16</v>
      </c>
      <c r="E6" s="34" t="e">
        <f>#REF!</f>
        <v>#REF!</v>
      </c>
      <c r="G6" s="35"/>
    </row>
    <row r="7" spans="1:7" ht="14.55" customHeight="1" x14ac:dyDescent="0.3">
      <c r="B7" s="36" t="s">
        <v>17</v>
      </c>
      <c r="E7" s="111">
        <v>905.83861999999999</v>
      </c>
    </row>
    <row r="8" spans="1:7" ht="14.55" customHeight="1" x14ac:dyDescent="0.3">
      <c r="B8" s="33" t="s">
        <v>18</v>
      </c>
      <c r="E8" s="38" t="e">
        <f>E32</f>
        <v>#REF!</v>
      </c>
    </row>
    <row r="9" spans="1:7" ht="14.55" customHeight="1" x14ac:dyDescent="0.3">
      <c r="B9" s="33" t="s">
        <v>19</v>
      </c>
      <c r="E9" s="39" t="e">
        <f>SUMPRODUCT(D21:D30,E21:E30)</f>
        <v>#REF!</v>
      </c>
    </row>
    <row r="10" spans="1:7" ht="14.55" customHeight="1" x14ac:dyDescent="0.3">
      <c r="B10" s="33" t="s">
        <v>20</v>
      </c>
      <c r="E10" s="39" t="e">
        <f>E9/E6</f>
        <v>#REF!</v>
      </c>
    </row>
    <row r="11" spans="1:7" ht="14.55" customHeight="1" x14ac:dyDescent="0.3">
      <c r="B11" s="33" t="s">
        <v>21</v>
      </c>
      <c r="E11" s="39" t="e">
        <f>E8-E10</f>
        <v>#REF!</v>
      </c>
    </row>
    <row r="12" spans="1:7" ht="14.55" customHeight="1" x14ac:dyDescent="0.3">
      <c r="B12" s="33"/>
      <c r="E12" s="39"/>
    </row>
    <row r="13" spans="1:7" ht="14.55" customHeight="1" x14ac:dyDescent="0.3">
      <c r="B13" s="33" t="s">
        <v>22</v>
      </c>
      <c r="E13" s="37">
        <v>4</v>
      </c>
    </row>
    <row r="14" spans="1:7" ht="14.55" customHeight="1" x14ac:dyDescent="0.3">
      <c r="B14" s="33" t="s">
        <v>23</v>
      </c>
      <c r="E14" s="37"/>
    </row>
    <row r="15" spans="1:7" ht="14.55" customHeight="1" x14ac:dyDescent="0.3">
      <c r="B15" s="33"/>
      <c r="E15" s="40"/>
    </row>
    <row r="16" spans="1:7" ht="14.55" customHeight="1" x14ac:dyDescent="0.3">
      <c r="B16" s="41" t="s">
        <v>24</v>
      </c>
      <c r="D16" s="42"/>
      <c r="E16" s="43" t="e">
        <f>E7+E11+E13+E14</f>
        <v>#REF!</v>
      </c>
    </row>
    <row r="17" spans="1:7" x14ac:dyDescent="0.3">
      <c r="B17" s="41"/>
      <c r="D17" s="42"/>
      <c r="E17" s="44"/>
    </row>
    <row r="18" spans="1:7" x14ac:dyDescent="0.3">
      <c r="A18" s="24" t="s">
        <v>3</v>
      </c>
      <c r="B18" s="29" t="s">
        <v>25</v>
      </c>
      <c r="C18" s="30"/>
      <c r="D18" s="30"/>
      <c r="E18" s="30"/>
    </row>
    <row r="19" spans="1:7" ht="5.0999999999999996" customHeight="1" x14ac:dyDescent="0.3">
      <c r="B19" s="31"/>
      <c r="C19" s="32"/>
      <c r="D19" s="32"/>
      <c r="E19" s="32"/>
    </row>
    <row r="20" spans="1:7" x14ac:dyDescent="0.3">
      <c r="C20" s="45" t="s">
        <v>26</v>
      </c>
      <c r="D20" s="45" t="s">
        <v>27</v>
      </c>
      <c r="E20" s="45" t="s">
        <v>28</v>
      </c>
    </row>
    <row r="21" spans="1:7" x14ac:dyDescent="0.3">
      <c r="B21" s="46">
        <v>1</v>
      </c>
      <c r="C21" s="37">
        <v>17</v>
      </c>
      <c r="D21" s="47">
        <v>370</v>
      </c>
      <c r="E21" s="48" t="e">
        <f>IF(D21&lt;$E$6,C21)</f>
        <v>#REF!</v>
      </c>
      <c r="G21" s="35"/>
    </row>
    <row r="22" spans="1:7" x14ac:dyDescent="0.3">
      <c r="B22" s="46">
        <f t="shared" ref="B22:B30" si="0">B21+1</f>
        <v>2</v>
      </c>
      <c r="C22" s="37"/>
      <c r="D22" s="47"/>
      <c r="E22" s="48" t="e">
        <f t="shared" ref="E22:E30" si="1">IF(D22&lt;$E$6,C22)</f>
        <v>#REF!</v>
      </c>
    </row>
    <row r="23" spans="1:7" x14ac:dyDescent="0.3">
      <c r="B23" s="46">
        <f t="shared" si="0"/>
        <v>3</v>
      </c>
      <c r="C23" s="37"/>
      <c r="D23" s="47"/>
      <c r="E23" s="48" t="e">
        <f t="shared" si="1"/>
        <v>#REF!</v>
      </c>
    </row>
    <row r="24" spans="1:7" x14ac:dyDescent="0.3">
      <c r="B24" s="46">
        <f t="shared" si="0"/>
        <v>4</v>
      </c>
      <c r="C24" s="37"/>
      <c r="D24" s="47"/>
      <c r="E24" s="48" t="e">
        <f t="shared" si="1"/>
        <v>#REF!</v>
      </c>
    </row>
    <row r="25" spans="1:7" x14ac:dyDescent="0.3">
      <c r="B25" s="46">
        <f t="shared" si="0"/>
        <v>5</v>
      </c>
      <c r="C25" s="37"/>
      <c r="D25" s="47"/>
      <c r="E25" s="48" t="e">
        <f t="shared" si="1"/>
        <v>#REF!</v>
      </c>
    </row>
    <row r="26" spans="1:7" x14ac:dyDescent="0.3">
      <c r="B26" s="46">
        <f t="shared" si="0"/>
        <v>6</v>
      </c>
      <c r="C26" s="37"/>
      <c r="D26" s="47"/>
      <c r="E26" s="48" t="e">
        <f t="shared" si="1"/>
        <v>#REF!</v>
      </c>
    </row>
    <row r="27" spans="1:7" x14ac:dyDescent="0.3">
      <c r="B27" s="46">
        <f t="shared" si="0"/>
        <v>7</v>
      </c>
      <c r="C27" s="37"/>
      <c r="D27" s="47"/>
      <c r="E27" s="48" t="e">
        <f t="shared" si="1"/>
        <v>#REF!</v>
      </c>
    </row>
    <row r="28" spans="1:7" x14ac:dyDescent="0.3">
      <c r="B28" s="46">
        <f t="shared" si="0"/>
        <v>8</v>
      </c>
      <c r="C28" s="37"/>
      <c r="D28" s="47"/>
      <c r="E28" s="48" t="e">
        <f t="shared" si="1"/>
        <v>#REF!</v>
      </c>
    </row>
    <row r="29" spans="1:7" x14ac:dyDescent="0.3">
      <c r="B29" s="46">
        <f t="shared" si="0"/>
        <v>9</v>
      </c>
      <c r="C29" s="37"/>
      <c r="D29" s="47"/>
      <c r="E29" s="48" t="e">
        <f t="shared" si="1"/>
        <v>#REF!</v>
      </c>
    </row>
    <row r="30" spans="1:7" x14ac:dyDescent="0.3">
      <c r="B30" s="46">
        <f t="shared" si="0"/>
        <v>10</v>
      </c>
      <c r="C30" s="37"/>
      <c r="D30" s="47"/>
      <c r="E30" s="48" t="e">
        <f t="shared" si="1"/>
        <v>#REF!</v>
      </c>
    </row>
    <row r="31" spans="1:7" ht="5.0999999999999996" customHeight="1" x14ac:dyDescent="0.3">
      <c r="B31" s="49"/>
      <c r="C31" s="50"/>
      <c r="D31" s="50"/>
      <c r="E31" s="51"/>
    </row>
    <row r="32" spans="1:7" x14ac:dyDescent="0.3">
      <c r="A32" s="24" t="s">
        <v>3</v>
      </c>
      <c r="B32" s="52" t="s">
        <v>4</v>
      </c>
      <c r="C32" s="53"/>
      <c r="D32" s="53"/>
      <c r="E32" s="54" t="e">
        <f>SUM(E21:E30)</f>
        <v>#REF!</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71EFB-0180-4C85-8A90-46B804237B5E}">
  <sheetPr>
    <outlinePr summaryBelow="0" summaryRight="0"/>
  </sheetPr>
  <dimension ref="A1:M13"/>
  <sheetViews>
    <sheetView workbookViewId="0"/>
  </sheetViews>
  <sheetFormatPr defaultColWidth="9.21875" defaultRowHeight="15" customHeight="1" outlineLevelRow="1" x14ac:dyDescent="0.25"/>
  <cols>
    <col min="1" max="1" width="25.77734375" style="1" customWidth="1"/>
    <col min="2" max="7" width="7.77734375" style="1" customWidth="1"/>
    <col min="8" max="13" width="8.77734375" style="1" customWidth="1"/>
    <col min="14" max="16384" width="9.21875" style="1"/>
  </cols>
  <sheetData>
    <row r="1" spans="1:13" ht="15" customHeight="1" x14ac:dyDescent="0.25">
      <c r="A1" s="21" t="s">
        <v>130</v>
      </c>
    </row>
    <row r="2" spans="1:13" ht="15" customHeight="1" x14ac:dyDescent="0.25">
      <c r="A2" s="1" t="s">
        <v>50</v>
      </c>
    </row>
    <row r="3" spans="1:13" ht="15" customHeight="1" x14ac:dyDescent="0.25">
      <c r="A3" s="18"/>
      <c r="B3" s="18" t="s">
        <v>66</v>
      </c>
      <c r="C3" s="18" t="s">
        <v>65</v>
      </c>
      <c r="D3" s="18" t="s">
        <v>64</v>
      </c>
      <c r="E3" s="18" t="s">
        <v>63</v>
      </c>
      <c r="F3" s="18" t="s">
        <v>62</v>
      </c>
      <c r="G3" s="18" t="s">
        <v>129</v>
      </c>
      <c r="H3" s="18" t="s">
        <v>49</v>
      </c>
      <c r="I3" s="18" t="s">
        <v>48</v>
      </c>
      <c r="J3" s="18" t="s">
        <v>47</v>
      </c>
      <c r="K3" s="18" t="s">
        <v>46</v>
      </c>
      <c r="L3" s="18" t="s">
        <v>45</v>
      </c>
      <c r="M3" s="18" t="s">
        <v>128</v>
      </c>
    </row>
    <row r="4" spans="1:13" ht="15" customHeight="1" x14ac:dyDescent="0.25">
      <c r="A4" s="64"/>
      <c r="B4" s="64" t="s">
        <v>61</v>
      </c>
      <c r="C4" s="64" t="s">
        <v>60</v>
      </c>
      <c r="D4" s="64" t="s">
        <v>59</v>
      </c>
      <c r="E4" s="64" t="s">
        <v>58</v>
      </c>
      <c r="F4" s="64" t="s">
        <v>57</v>
      </c>
      <c r="G4" s="64" t="s">
        <v>127</v>
      </c>
      <c r="H4" s="64" t="s">
        <v>44</v>
      </c>
      <c r="I4" s="64" t="s">
        <v>43</v>
      </c>
      <c r="J4" s="64" t="s">
        <v>42</v>
      </c>
      <c r="K4" s="64" t="s">
        <v>41</v>
      </c>
      <c r="L4" s="64" t="s">
        <v>40</v>
      </c>
      <c r="M4" s="64" t="s">
        <v>126</v>
      </c>
    </row>
    <row r="5" spans="1:13" ht="15" customHeight="1" outlineLevel="1" x14ac:dyDescent="0.25">
      <c r="A5" s="4" t="s">
        <v>39</v>
      </c>
      <c r="B5" s="63">
        <v>242155</v>
      </c>
      <c r="C5" s="63">
        <v>257141</v>
      </c>
      <c r="D5" s="63">
        <v>287597</v>
      </c>
      <c r="E5" s="63">
        <v>324162</v>
      </c>
      <c r="F5" s="63">
        <v>371622</v>
      </c>
      <c r="G5" s="63">
        <v>400278</v>
      </c>
      <c r="H5" s="63">
        <v>447440</v>
      </c>
      <c r="I5" s="63">
        <v>453201</v>
      </c>
      <c r="J5" s="63">
        <v>477361</v>
      </c>
      <c r="K5" s="63">
        <v>494793</v>
      </c>
      <c r="L5" s="63">
        <v>533966</v>
      </c>
      <c r="M5" s="6" t="s">
        <v>0</v>
      </c>
    </row>
    <row r="6" spans="1:13" ht="15" customHeight="1" outlineLevel="1" x14ac:dyDescent="0.25">
      <c r="A6" s="3" t="s">
        <v>38</v>
      </c>
      <c r="B6" s="15">
        <v>28117</v>
      </c>
      <c r="C6" s="15">
        <v>30745</v>
      </c>
      <c r="D6" s="15">
        <v>31034</v>
      </c>
      <c r="E6" s="15">
        <v>33703</v>
      </c>
      <c r="F6" s="15">
        <v>38770</v>
      </c>
      <c r="G6" s="15">
        <v>46694</v>
      </c>
      <c r="H6" s="15">
        <v>51000.3</v>
      </c>
      <c r="I6" s="15">
        <v>52392</v>
      </c>
      <c r="J6" s="15">
        <v>54166.5</v>
      </c>
      <c r="K6" s="15">
        <v>43887.3</v>
      </c>
      <c r="L6" s="15">
        <v>66353</v>
      </c>
      <c r="M6" s="8" t="s">
        <v>0</v>
      </c>
    </row>
    <row r="7" spans="1:13" ht="15" customHeight="1" outlineLevel="1" x14ac:dyDescent="0.25">
      <c r="A7" s="4" t="s">
        <v>37</v>
      </c>
      <c r="B7" s="63">
        <v>55712</v>
      </c>
      <c r="C7" s="63">
        <v>65498</v>
      </c>
      <c r="D7" s="6" t="s">
        <v>0</v>
      </c>
      <c r="E7" s="6" t="s">
        <v>0</v>
      </c>
      <c r="F7" s="63">
        <v>90973.1</v>
      </c>
      <c r="G7" s="6" t="s">
        <v>0</v>
      </c>
      <c r="H7" s="63">
        <v>82192</v>
      </c>
      <c r="I7" s="63">
        <v>84958</v>
      </c>
      <c r="J7" s="6" t="s">
        <v>0</v>
      </c>
      <c r="K7" s="6" t="s">
        <v>0</v>
      </c>
      <c r="L7" s="6" t="s">
        <v>0</v>
      </c>
      <c r="M7" s="6" t="s">
        <v>0</v>
      </c>
    </row>
    <row r="8" spans="1:13" ht="15" customHeight="1" outlineLevel="1" x14ac:dyDescent="0.25">
      <c r="A8" s="3" t="s">
        <v>125</v>
      </c>
      <c r="B8" s="8" t="s">
        <v>0</v>
      </c>
      <c r="C8" s="8" t="s">
        <v>0</v>
      </c>
      <c r="D8" s="15">
        <v>186911</v>
      </c>
      <c r="E8" s="15">
        <v>210842</v>
      </c>
      <c r="F8" s="15">
        <v>241894</v>
      </c>
      <c r="G8" s="15">
        <v>263555</v>
      </c>
      <c r="H8" s="15">
        <v>312560</v>
      </c>
      <c r="I8" s="15">
        <v>325076</v>
      </c>
      <c r="J8" s="15">
        <v>335516</v>
      </c>
      <c r="K8" s="15">
        <v>356410</v>
      </c>
      <c r="L8" s="15">
        <v>381008</v>
      </c>
      <c r="M8" s="8" t="s">
        <v>0</v>
      </c>
    </row>
    <row r="9" spans="1:13" ht="15" customHeight="1" outlineLevel="1" x14ac:dyDescent="0.25">
      <c r="A9" s="4" t="s">
        <v>36</v>
      </c>
      <c r="B9" s="63">
        <v>22405</v>
      </c>
      <c r="C9" s="63">
        <v>25296</v>
      </c>
      <c r="D9" s="63">
        <v>27073</v>
      </c>
      <c r="E9" s="63">
        <v>31835</v>
      </c>
      <c r="F9" s="63">
        <v>36330</v>
      </c>
      <c r="G9" s="63">
        <v>38619</v>
      </c>
      <c r="H9" s="63">
        <v>26429.5</v>
      </c>
      <c r="I9" s="63">
        <v>28395.5</v>
      </c>
      <c r="J9" s="63">
        <v>31995.8</v>
      </c>
      <c r="K9" s="63">
        <v>37493.300000000003</v>
      </c>
      <c r="L9" s="63">
        <v>42668.3</v>
      </c>
      <c r="M9" s="6" t="s">
        <v>0</v>
      </c>
    </row>
    <row r="10" spans="1:13" ht="15" customHeight="1" outlineLevel="1" x14ac:dyDescent="0.25">
      <c r="A10" s="3" t="s">
        <v>35</v>
      </c>
      <c r="B10" s="15">
        <v>19685</v>
      </c>
      <c r="C10" s="15">
        <v>22405</v>
      </c>
      <c r="D10" s="15">
        <v>23970</v>
      </c>
      <c r="E10" s="15">
        <v>28435</v>
      </c>
      <c r="F10" s="15">
        <v>32358</v>
      </c>
      <c r="G10" s="15">
        <v>32287</v>
      </c>
      <c r="H10" s="15">
        <v>22264.5</v>
      </c>
      <c r="I10" s="15">
        <v>24113.8</v>
      </c>
      <c r="J10" s="15">
        <v>27545.4</v>
      </c>
      <c r="K10" s="15">
        <v>33993.800000000003</v>
      </c>
      <c r="L10" s="15">
        <v>37521.300000000003</v>
      </c>
      <c r="M10" s="8" t="s">
        <v>0</v>
      </c>
    </row>
    <row r="11" spans="1:13" ht="15" customHeight="1" outlineLevel="1" x14ac:dyDescent="0.25">
      <c r="A11" s="4" t="s">
        <v>34</v>
      </c>
      <c r="B11" s="63">
        <v>17981</v>
      </c>
      <c r="C11" s="63">
        <v>20742</v>
      </c>
      <c r="D11" s="63">
        <v>22310</v>
      </c>
      <c r="E11" s="63">
        <v>26343</v>
      </c>
      <c r="F11" s="63">
        <v>29112</v>
      </c>
      <c r="G11" s="63">
        <v>30614</v>
      </c>
      <c r="H11" s="63">
        <v>17931.099999999999</v>
      </c>
      <c r="I11" s="63">
        <v>20124.099999999999</v>
      </c>
      <c r="J11" s="63">
        <v>23546.2</v>
      </c>
      <c r="K11" s="63">
        <v>28812</v>
      </c>
      <c r="L11" s="63">
        <v>33112.300000000003</v>
      </c>
      <c r="M11" s="6" t="s">
        <v>0</v>
      </c>
    </row>
    <row r="12" spans="1:13" ht="15" customHeight="1" outlineLevel="1" x14ac:dyDescent="0.25">
      <c r="A12" s="3" t="s">
        <v>33</v>
      </c>
      <c r="B12" s="15">
        <v>3742</v>
      </c>
      <c r="C12" s="15">
        <v>4973</v>
      </c>
      <c r="D12" s="15">
        <v>4578</v>
      </c>
      <c r="E12" s="15">
        <v>5704</v>
      </c>
      <c r="F12" s="15">
        <v>5968</v>
      </c>
      <c r="G12" s="15">
        <v>4829</v>
      </c>
      <c r="H12" s="15">
        <v>3267.17</v>
      </c>
      <c r="I12" s="15">
        <v>4154.58</v>
      </c>
      <c r="J12" s="15">
        <v>4944</v>
      </c>
      <c r="K12" s="15">
        <v>6125.5</v>
      </c>
      <c r="L12" s="15">
        <v>7151.5</v>
      </c>
      <c r="M12" s="8" t="s">
        <v>0</v>
      </c>
    </row>
    <row r="13" spans="1:13" ht="15" customHeight="1" outlineLevel="1" x14ac:dyDescent="0.25">
      <c r="A13" s="4" t="s">
        <v>32</v>
      </c>
      <c r="B13" s="63">
        <v>13839</v>
      </c>
      <c r="C13" s="63">
        <v>15403</v>
      </c>
      <c r="D13" s="63">
        <v>17285</v>
      </c>
      <c r="E13" s="63">
        <v>20120</v>
      </c>
      <c r="F13" s="63">
        <v>22381</v>
      </c>
      <c r="G13" s="63">
        <v>14405</v>
      </c>
      <c r="H13" s="63">
        <v>14025.5</v>
      </c>
      <c r="I13" s="63">
        <v>15338.3</v>
      </c>
      <c r="J13" s="63">
        <v>17878.900000000001</v>
      </c>
      <c r="K13" s="63">
        <v>22138.6</v>
      </c>
      <c r="L13" s="63">
        <v>25605.7</v>
      </c>
      <c r="M13" s="6" t="s">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8693-48CF-4BD5-AAC9-17415F369CB7}">
  <sheetPr>
    <outlinePr summaryBelow="0" summaryRight="0"/>
  </sheetPr>
  <dimension ref="A1:K33"/>
  <sheetViews>
    <sheetView workbookViewId="0">
      <selection activeCell="I19" sqref="I19"/>
    </sheetView>
  </sheetViews>
  <sheetFormatPr defaultColWidth="9.21875" defaultRowHeight="15" customHeight="1" outlineLevelRow="1" x14ac:dyDescent="0.25"/>
  <cols>
    <col min="1" max="1" width="59.21875" style="1" customWidth="1"/>
    <col min="2" max="11" width="10.5546875" style="1" customWidth="1"/>
    <col min="12" max="16384" width="9.21875" style="1"/>
  </cols>
  <sheetData>
    <row r="1" spans="1:11" ht="15" customHeight="1" x14ac:dyDescent="0.25">
      <c r="A1" s="21" t="s">
        <v>208</v>
      </c>
    </row>
    <row r="2" spans="1:11" ht="15" customHeight="1" x14ac:dyDescent="0.25">
      <c r="A2" s="20" t="s">
        <v>237</v>
      </c>
    </row>
    <row r="3" spans="1:11" ht="15" customHeight="1" x14ac:dyDescent="0.25">
      <c r="A3" s="19"/>
      <c r="B3" s="19"/>
      <c r="C3" s="19"/>
      <c r="D3" s="19"/>
      <c r="E3" s="19"/>
      <c r="F3" s="19"/>
      <c r="G3" s="19"/>
      <c r="H3" s="19"/>
      <c r="I3" s="19"/>
      <c r="J3" s="19"/>
      <c r="K3" s="19"/>
    </row>
    <row r="5" spans="1:11" ht="15" customHeight="1" x14ac:dyDescent="0.25">
      <c r="A5" s="18" t="s">
        <v>206</v>
      </c>
      <c r="B5" s="18"/>
      <c r="C5" s="18"/>
      <c r="D5" s="18"/>
      <c r="E5" s="18"/>
      <c r="F5" s="18"/>
      <c r="G5" s="18"/>
      <c r="H5" s="18"/>
      <c r="I5" s="18"/>
      <c r="J5" s="18"/>
      <c r="K5" s="18"/>
    </row>
    <row r="6" spans="1:11" ht="15" customHeight="1" x14ac:dyDescent="0.25">
      <c r="A6" s="18" t="s">
        <v>205</v>
      </c>
      <c r="B6" s="18"/>
      <c r="C6" s="18"/>
      <c r="D6" s="18"/>
      <c r="E6" s="18"/>
      <c r="F6" s="18"/>
      <c r="G6" s="18"/>
      <c r="H6" s="18"/>
      <c r="I6" s="18"/>
      <c r="J6" s="18"/>
      <c r="K6" s="18"/>
    </row>
    <row r="7" spans="1:11" ht="15" customHeight="1" x14ac:dyDescent="0.25">
      <c r="A7" s="18" t="s">
        <v>1</v>
      </c>
      <c r="B7" s="18"/>
      <c r="C7" s="18"/>
      <c r="D7" s="18"/>
      <c r="E7" s="18"/>
      <c r="F7" s="18"/>
      <c r="G7" s="18"/>
      <c r="H7" s="18"/>
      <c r="I7" s="18"/>
      <c r="J7" s="18"/>
      <c r="K7" s="18"/>
    </row>
    <row r="8" spans="1:11" ht="15" customHeight="1" x14ac:dyDescent="0.25">
      <c r="A8" s="18"/>
      <c r="B8" s="18" t="s">
        <v>204</v>
      </c>
      <c r="C8" s="18" t="s">
        <v>203</v>
      </c>
      <c r="D8" s="18" t="s">
        <v>202</v>
      </c>
      <c r="E8" s="18" t="s">
        <v>201</v>
      </c>
      <c r="F8" s="18" t="s">
        <v>200</v>
      </c>
      <c r="G8" s="18" t="s">
        <v>199</v>
      </c>
      <c r="H8" s="18" t="s">
        <v>198</v>
      </c>
      <c r="I8" s="18" t="s">
        <v>197</v>
      </c>
      <c r="J8" s="18" t="s">
        <v>196</v>
      </c>
      <c r="K8" s="18" t="s">
        <v>195</v>
      </c>
    </row>
    <row r="9" spans="1:11" ht="15" customHeight="1" x14ac:dyDescent="0.25">
      <c r="A9" s="12" t="s">
        <v>236</v>
      </c>
      <c r="B9" s="122">
        <v>157107</v>
      </c>
      <c r="C9" s="122">
        <v>184840</v>
      </c>
      <c r="D9" s="122">
        <v>201159</v>
      </c>
      <c r="E9" s="122">
        <v>226247</v>
      </c>
      <c r="F9" s="122">
        <v>242155</v>
      </c>
      <c r="G9" s="122">
        <v>257141</v>
      </c>
      <c r="H9" s="122">
        <v>287597</v>
      </c>
      <c r="I9" s="122">
        <v>324162</v>
      </c>
      <c r="J9" s="122">
        <v>371622</v>
      </c>
      <c r="K9" s="122">
        <v>400278</v>
      </c>
    </row>
    <row r="10" spans="1:11" ht="15" customHeight="1" outlineLevel="1" x14ac:dyDescent="0.25">
      <c r="A10" s="3" t="s">
        <v>235</v>
      </c>
      <c r="B10" s="117">
        <v>127163</v>
      </c>
      <c r="C10" s="117">
        <v>144118</v>
      </c>
      <c r="D10" s="117">
        <v>158453</v>
      </c>
      <c r="E10" s="117">
        <v>178087</v>
      </c>
      <c r="F10" s="117">
        <v>189699</v>
      </c>
      <c r="G10" s="117">
        <v>201478</v>
      </c>
      <c r="H10" s="117">
        <v>226233</v>
      </c>
      <c r="I10" s="117">
        <v>257157</v>
      </c>
      <c r="J10" s="117">
        <v>290827</v>
      </c>
      <c r="K10" s="117">
        <v>308810</v>
      </c>
    </row>
    <row r="11" spans="1:11" ht="15" customHeight="1" outlineLevel="1" x14ac:dyDescent="0.25">
      <c r="A11" s="4" t="s">
        <v>234</v>
      </c>
      <c r="B11" s="120">
        <v>17312</v>
      </c>
      <c r="C11" s="120">
        <v>26658</v>
      </c>
      <c r="D11" s="120">
        <v>26366</v>
      </c>
      <c r="E11" s="120">
        <v>29601</v>
      </c>
      <c r="F11" s="120">
        <v>31597</v>
      </c>
      <c r="G11" s="120">
        <v>34145</v>
      </c>
      <c r="H11" s="120">
        <v>34437</v>
      </c>
      <c r="I11" s="120">
        <v>37424</v>
      </c>
      <c r="J11" s="120">
        <v>42583</v>
      </c>
      <c r="K11" s="120">
        <v>50226</v>
      </c>
    </row>
    <row r="12" spans="1:11" ht="15" customHeight="1" outlineLevel="1" x14ac:dyDescent="0.25">
      <c r="A12" s="3" t="s">
        <v>233</v>
      </c>
      <c r="B12" s="117">
        <v>11922</v>
      </c>
      <c r="C12" s="117">
        <v>13236</v>
      </c>
      <c r="D12" s="117">
        <v>15317</v>
      </c>
      <c r="E12" s="117">
        <v>17183</v>
      </c>
      <c r="F12" s="117">
        <v>18973</v>
      </c>
      <c r="G12" s="117">
        <v>20016</v>
      </c>
      <c r="H12" s="117">
        <v>24603</v>
      </c>
      <c r="I12" s="117">
        <v>27551</v>
      </c>
      <c r="J12" s="117">
        <v>34123</v>
      </c>
      <c r="K12" s="117">
        <v>36040</v>
      </c>
    </row>
    <row r="13" spans="1:11" ht="15" customHeight="1" outlineLevel="1" x14ac:dyDescent="0.25">
      <c r="A13" s="4" t="s">
        <v>232</v>
      </c>
      <c r="B13" s="120">
        <v>710</v>
      </c>
      <c r="C13" s="120">
        <v>828</v>
      </c>
      <c r="D13" s="120">
        <v>1023</v>
      </c>
      <c r="E13" s="120">
        <v>1376</v>
      </c>
      <c r="F13" s="120">
        <v>1886</v>
      </c>
      <c r="G13" s="120">
        <v>1502</v>
      </c>
      <c r="H13" s="120">
        <v>2324</v>
      </c>
      <c r="I13" s="120">
        <v>2030</v>
      </c>
      <c r="J13" s="120">
        <v>4089</v>
      </c>
      <c r="K13" s="120">
        <v>5202</v>
      </c>
    </row>
    <row r="14" spans="1:11" ht="15" customHeight="1" x14ac:dyDescent="0.25">
      <c r="A14" s="5" t="s">
        <v>231</v>
      </c>
      <c r="B14" s="121">
        <v>-146086</v>
      </c>
      <c r="C14" s="121">
        <v>-171910</v>
      </c>
      <c r="D14" s="121">
        <v>-185950</v>
      </c>
      <c r="E14" s="121">
        <v>-208903</v>
      </c>
      <c r="F14" s="121">
        <v>-222470</v>
      </c>
      <c r="G14" s="121">
        <v>-234736</v>
      </c>
      <c r="H14" s="121">
        <v>-263627</v>
      </c>
      <c r="I14" s="121">
        <v>-295727</v>
      </c>
      <c r="J14" s="121">
        <v>-339264</v>
      </c>
      <c r="K14" s="121">
        <v>-367991</v>
      </c>
    </row>
    <row r="15" spans="1:11" ht="15" customHeight="1" outlineLevel="1" x14ac:dyDescent="0.25">
      <c r="A15" s="4" t="s">
        <v>230</v>
      </c>
      <c r="B15" s="118">
        <v>-103875</v>
      </c>
      <c r="C15" s="118">
        <v>-117038</v>
      </c>
      <c r="D15" s="118">
        <v>-130036</v>
      </c>
      <c r="E15" s="118">
        <v>-145403</v>
      </c>
      <c r="F15" s="118">
        <v>-156440</v>
      </c>
      <c r="G15" s="118">
        <v>-159396</v>
      </c>
      <c r="H15" s="118">
        <v>-186911</v>
      </c>
      <c r="I15" s="118">
        <v>-210842</v>
      </c>
      <c r="J15" s="118">
        <v>-241894</v>
      </c>
      <c r="K15" s="118">
        <v>-264185</v>
      </c>
    </row>
    <row r="16" spans="1:11" ht="15" customHeight="1" outlineLevel="1" x14ac:dyDescent="0.25">
      <c r="A16" s="3" t="s">
        <v>229</v>
      </c>
      <c r="B16" s="119">
        <v>-24312</v>
      </c>
      <c r="C16" s="119">
        <v>-28401</v>
      </c>
      <c r="D16" s="119">
        <v>-29557</v>
      </c>
      <c r="E16" s="119">
        <v>-34074</v>
      </c>
      <c r="F16" s="119">
        <v>-35193</v>
      </c>
      <c r="G16" s="119">
        <v>-41704</v>
      </c>
      <c r="H16" s="119">
        <v>-42579</v>
      </c>
      <c r="I16" s="119">
        <v>-47782</v>
      </c>
      <c r="J16" s="119">
        <v>-54628</v>
      </c>
      <c r="K16" s="119">
        <v>-53013</v>
      </c>
    </row>
    <row r="17" spans="1:11" ht="15" customHeight="1" outlineLevel="1" x14ac:dyDescent="0.25">
      <c r="A17" s="4" t="s">
        <v>228</v>
      </c>
      <c r="B17" s="118">
        <v>-16206</v>
      </c>
      <c r="C17" s="118">
        <v>-24416</v>
      </c>
      <c r="D17" s="118">
        <v>-24112</v>
      </c>
      <c r="E17" s="118">
        <v>-26998</v>
      </c>
      <c r="F17" s="118">
        <v>-28117</v>
      </c>
      <c r="G17" s="118">
        <v>-30745</v>
      </c>
      <c r="H17" s="118">
        <v>-31034</v>
      </c>
      <c r="I17" s="118">
        <v>-33703</v>
      </c>
      <c r="J17" s="118">
        <v>-38770</v>
      </c>
      <c r="K17" s="118">
        <v>-46694</v>
      </c>
    </row>
    <row r="18" spans="1:11" ht="15" customHeight="1" outlineLevel="1" x14ac:dyDescent="0.25">
      <c r="A18" s="3" t="s">
        <v>191</v>
      </c>
      <c r="B18" s="119">
        <v>-1693</v>
      </c>
      <c r="C18" s="119">
        <v>-2055</v>
      </c>
      <c r="D18" s="119">
        <v>-2245</v>
      </c>
      <c r="E18" s="119">
        <v>-2428</v>
      </c>
      <c r="F18" s="119">
        <v>-2720</v>
      </c>
      <c r="G18" s="119">
        <v>-2891</v>
      </c>
      <c r="H18" s="119">
        <v>-3103</v>
      </c>
      <c r="I18" s="119">
        <v>-3400</v>
      </c>
      <c r="J18" s="119">
        <v>-3972</v>
      </c>
      <c r="K18" s="119">
        <v>-4099</v>
      </c>
    </row>
    <row r="19" spans="1:11" ht="15" customHeight="1" x14ac:dyDescent="0.25">
      <c r="A19" s="6" t="s">
        <v>227</v>
      </c>
      <c r="B19" s="120">
        <v>11021</v>
      </c>
      <c r="C19" s="120">
        <v>12930</v>
      </c>
      <c r="D19" s="120">
        <v>15209</v>
      </c>
      <c r="E19" s="120">
        <v>17344</v>
      </c>
      <c r="F19" s="120">
        <v>19685</v>
      </c>
      <c r="G19" s="120">
        <v>22405</v>
      </c>
      <c r="H19" s="120">
        <v>23970</v>
      </c>
      <c r="I19" s="120">
        <v>28435</v>
      </c>
      <c r="J19" s="120">
        <v>32358</v>
      </c>
      <c r="K19" s="120">
        <v>32287</v>
      </c>
    </row>
    <row r="20" spans="1:11" ht="15" customHeight="1" x14ac:dyDescent="0.25">
      <c r="A20" s="8" t="s">
        <v>226</v>
      </c>
      <c r="B20" s="119">
        <v>-790</v>
      </c>
      <c r="C20" s="119">
        <v>-1067</v>
      </c>
      <c r="D20" s="119">
        <v>-1186</v>
      </c>
      <c r="E20" s="119">
        <v>-1400</v>
      </c>
      <c r="F20" s="119">
        <v>-1704</v>
      </c>
      <c r="G20" s="119">
        <v>-1663</v>
      </c>
      <c r="H20" s="119">
        <v>-1660</v>
      </c>
      <c r="I20" s="119">
        <v>-2092</v>
      </c>
      <c r="J20" s="119">
        <v>-3246</v>
      </c>
      <c r="K20" s="119">
        <v>-3906</v>
      </c>
    </row>
    <row r="21" spans="1:11" ht="15" customHeight="1" x14ac:dyDescent="0.25">
      <c r="A21" s="6" t="s">
        <v>187</v>
      </c>
      <c r="B21" s="6" t="s">
        <v>0</v>
      </c>
      <c r="C21" s="6" t="s">
        <v>0</v>
      </c>
      <c r="D21" s="6" t="s">
        <v>0</v>
      </c>
      <c r="E21" s="6" t="s">
        <v>0</v>
      </c>
      <c r="F21" s="6" t="s">
        <v>0</v>
      </c>
      <c r="G21" s="6" t="s">
        <v>0</v>
      </c>
      <c r="H21" s="6" t="s">
        <v>0</v>
      </c>
      <c r="I21" s="6" t="s">
        <v>0</v>
      </c>
      <c r="J21" s="6" t="s">
        <v>0</v>
      </c>
      <c r="K21" s="118">
        <v>-8310</v>
      </c>
    </row>
    <row r="22" spans="1:11" ht="15" customHeight="1" x14ac:dyDescent="0.25">
      <c r="A22" s="8" t="s">
        <v>225</v>
      </c>
      <c r="B22" s="117">
        <v>10231</v>
      </c>
      <c r="C22" s="117">
        <v>11863</v>
      </c>
      <c r="D22" s="117">
        <v>14023</v>
      </c>
      <c r="E22" s="117">
        <v>15944</v>
      </c>
      <c r="F22" s="117">
        <v>17981</v>
      </c>
      <c r="G22" s="117">
        <v>20742</v>
      </c>
      <c r="H22" s="117">
        <v>22310</v>
      </c>
      <c r="I22" s="117">
        <v>26343</v>
      </c>
      <c r="J22" s="117">
        <v>29112</v>
      </c>
      <c r="K22" s="117">
        <v>20071</v>
      </c>
    </row>
    <row r="23" spans="1:11" ht="15" customHeight="1" x14ac:dyDescent="0.25">
      <c r="A23" s="6" t="s">
        <v>224</v>
      </c>
      <c r="B23" s="118">
        <v>-4363</v>
      </c>
      <c r="C23" s="118">
        <v>-4790</v>
      </c>
      <c r="D23" s="118">
        <v>-3200</v>
      </c>
      <c r="E23" s="118">
        <v>-3562</v>
      </c>
      <c r="F23" s="118">
        <v>-3742</v>
      </c>
      <c r="G23" s="118">
        <v>-4973</v>
      </c>
      <c r="H23" s="118">
        <v>-4578</v>
      </c>
      <c r="I23" s="118">
        <v>-5704</v>
      </c>
      <c r="J23" s="118">
        <v>-5968</v>
      </c>
      <c r="K23" s="118">
        <v>-4829</v>
      </c>
    </row>
    <row r="24" spans="1:11" ht="15" customHeight="1" x14ac:dyDescent="0.25">
      <c r="A24" s="8" t="s">
        <v>193</v>
      </c>
      <c r="B24" s="117">
        <v>5868</v>
      </c>
      <c r="C24" s="117">
        <v>7073</v>
      </c>
      <c r="D24" s="117">
        <v>10823</v>
      </c>
      <c r="E24" s="117">
        <v>12382</v>
      </c>
      <c r="F24" s="117">
        <v>14239</v>
      </c>
      <c r="G24" s="117">
        <v>15769</v>
      </c>
      <c r="H24" s="117">
        <v>17732</v>
      </c>
      <c r="I24" s="117">
        <v>20639</v>
      </c>
      <c r="J24" s="117">
        <v>23144</v>
      </c>
      <c r="K24" s="117">
        <v>15242</v>
      </c>
    </row>
    <row r="25" spans="1:11" ht="15" customHeight="1" x14ac:dyDescent="0.25">
      <c r="A25" s="6" t="s">
        <v>223</v>
      </c>
      <c r="B25" s="118">
        <v>-55</v>
      </c>
      <c r="C25" s="118">
        <v>-56</v>
      </c>
      <c r="D25" s="118">
        <v>-265</v>
      </c>
      <c r="E25" s="118">
        <v>-396</v>
      </c>
      <c r="F25" s="118">
        <v>-400</v>
      </c>
      <c r="G25" s="118">
        <v>-366</v>
      </c>
      <c r="H25" s="118">
        <v>-447</v>
      </c>
      <c r="I25" s="118">
        <v>-519</v>
      </c>
      <c r="J25" s="118">
        <v>-763</v>
      </c>
      <c r="K25" s="118">
        <v>-837</v>
      </c>
    </row>
    <row r="26" spans="1:11" ht="15" customHeight="1" x14ac:dyDescent="0.25">
      <c r="A26" s="8" t="s">
        <v>222</v>
      </c>
      <c r="B26" s="117">
        <v>5813</v>
      </c>
      <c r="C26" s="117">
        <v>7017</v>
      </c>
      <c r="D26" s="117">
        <v>10558</v>
      </c>
      <c r="E26" s="117">
        <v>11986</v>
      </c>
      <c r="F26" s="117">
        <v>13839</v>
      </c>
      <c r="G26" s="117">
        <v>15403</v>
      </c>
      <c r="H26" s="117">
        <v>17285</v>
      </c>
      <c r="I26" s="117">
        <v>20120</v>
      </c>
      <c r="J26" s="117">
        <v>22381</v>
      </c>
      <c r="K26" s="117">
        <v>14405</v>
      </c>
    </row>
    <row r="27" spans="1:11" ht="15" customHeight="1" x14ac:dyDescent="0.25">
      <c r="A27" s="12" t="s">
        <v>221</v>
      </c>
      <c r="B27" s="12"/>
      <c r="C27" s="12"/>
      <c r="D27" s="12"/>
      <c r="E27" s="12"/>
      <c r="F27" s="12"/>
      <c r="G27" s="12"/>
      <c r="H27" s="12"/>
      <c r="I27" s="12"/>
      <c r="J27" s="12"/>
      <c r="K27" s="12"/>
    </row>
    <row r="28" spans="1:11" ht="15" customHeight="1" outlineLevel="1" x14ac:dyDescent="0.25">
      <c r="A28" s="3" t="s">
        <v>219</v>
      </c>
      <c r="B28" s="116">
        <v>6.1</v>
      </c>
      <c r="C28" s="116">
        <v>7.37</v>
      </c>
      <c r="D28" s="116">
        <v>10.95</v>
      </c>
      <c r="E28" s="116">
        <v>12.45</v>
      </c>
      <c r="F28" s="116">
        <v>14.55</v>
      </c>
      <c r="G28" s="116">
        <v>16.23</v>
      </c>
      <c r="H28" s="116">
        <v>18.329999999999998</v>
      </c>
      <c r="I28" s="116">
        <v>21.47</v>
      </c>
      <c r="J28" s="116">
        <v>24.12</v>
      </c>
      <c r="K28" s="116">
        <v>15.64</v>
      </c>
    </row>
    <row r="29" spans="1:11" ht="15" customHeight="1" outlineLevel="1" x14ac:dyDescent="0.25">
      <c r="A29" s="4" t="s">
        <v>218</v>
      </c>
      <c r="B29" s="115">
        <v>6.01</v>
      </c>
      <c r="C29" s="115">
        <v>7.25</v>
      </c>
      <c r="D29" s="115">
        <v>10.72</v>
      </c>
      <c r="E29" s="115">
        <v>12.19</v>
      </c>
      <c r="F29" s="115">
        <v>14.33</v>
      </c>
      <c r="G29" s="115">
        <v>16.03</v>
      </c>
      <c r="H29" s="115">
        <v>18.079999999999998</v>
      </c>
      <c r="I29" s="115">
        <v>21.18</v>
      </c>
      <c r="J29" s="115">
        <v>23.86</v>
      </c>
      <c r="K29" s="115">
        <v>15.51</v>
      </c>
    </row>
    <row r="30" spans="1:11" ht="15" customHeight="1" x14ac:dyDescent="0.25">
      <c r="A30" s="5" t="s">
        <v>220</v>
      </c>
      <c r="B30" s="5"/>
      <c r="C30" s="5"/>
      <c r="D30" s="5"/>
      <c r="E30" s="5"/>
      <c r="F30" s="5"/>
      <c r="G30" s="5"/>
      <c r="H30" s="5"/>
      <c r="I30" s="5"/>
      <c r="J30" s="5"/>
      <c r="K30" s="5"/>
    </row>
    <row r="31" spans="1:11" ht="15" customHeight="1" outlineLevel="1" x14ac:dyDescent="0.25">
      <c r="A31" s="4" t="s">
        <v>219</v>
      </c>
      <c r="B31" s="109">
        <v>953</v>
      </c>
      <c r="C31" s="109">
        <v>952</v>
      </c>
      <c r="D31" s="109">
        <v>964</v>
      </c>
      <c r="E31" s="109">
        <v>963</v>
      </c>
      <c r="F31" s="109">
        <v>951</v>
      </c>
      <c r="G31" s="109">
        <v>949</v>
      </c>
      <c r="H31" s="109">
        <v>943</v>
      </c>
      <c r="I31" s="109">
        <v>937</v>
      </c>
      <c r="J31" s="109">
        <v>928</v>
      </c>
      <c r="K31" s="109">
        <v>921</v>
      </c>
    </row>
    <row r="32" spans="1:11" ht="15" customHeight="1" outlineLevel="1" x14ac:dyDescent="0.25">
      <c r="A32" s="3" t="s">
        <v>218</v>
      </c>
      <c r="B32" s="108">
        <v>967</v>
      </c>
      <c r="C32" s="108">
        <v>968</v>
      </c>
      <c r="D32" s="108">
        <v>985</v>
      </c>
      <c r="E32" s="108">
        <v>983</v>
      </c>
      <c r="F32" s="108">
        <v>966</v>
      </c>
      <c r="G32" s="108">
        <v>961</v>
      </c>
      <c r="H32" s="108">
        <v>956</v>
      </c>
      <c r="I32" s="108">
        <v>950</v>
      </c>
      <c r="J32" s="108">
        <v>938</v>
      </c>
      <c r="K32" s="108">
        <v>929</v>
      </c>
    </row>
    <row r="33" spans="1:1" ht="15" customHeight="1" x14ac:dyDescent="0.25">
      <c r="A33" s="2" t="s">
        <v>217</v>
      </c>
    </row>
  </sheetData>
  <hyperlinks>
    <hyperlink ref="B9" r:id="rId1" display="fdsup://factset/Doc Viewer Single?float_window=true&amp;positioning_strategy=center_on_screen&amp;_doc_docfn=U2FsdGVkX18xvMsGqlSwPJiqbxqrIh0qDV6cAGyshM4VGVbSGNuuyjrp9cEqppZsIm18Zbm6i5RQJamhc6w2bfrX9wj7eSnmLQyKxuvtVMo=&amp;_app_id=central_doc_viewer&amp;center_on_screen=true&amp;width=950&amp;height=800&amp;_dd2=%26f%3Dsld%26c%3Dtrue%26os%3D55858%26oe%3D55865" xr:uid="{E9DF1EDA-F36B-4FDE-B1FA-65659B9E7047}"/>
    <hyperlink ref="C9" r:id="rId2" display="fdsup://factset/Doc Viewer Single?float_window=true&amp;positioning_strategy=center_on_screen&amp;_doc_docfn=U2FsdGVkX187SsuM09hWC2x4Uv25qMhXNbk/Q9V9R051U45SNcvBP9EjxhNBo7twL0fWKev7l6UTuFtxE0kU8ZiQdJh5DLCEZxwAPYDrbWw=&amp;_app_id=central_doc_viewer&amp;center_on_screen=true&amp;width=950&amp;height=800&amp;_dd2=%26f%3Dsld%26c%3Dtrue%26os%3D57132%26oe%3D57139" xr:uid="{966A70CD-51B7-4BD6-B7CF-C6DC4366DBF5}"/>
    <hyperlink ref="D9" r:id="rId3" display="fdsup://factset/Doc Viewer Single?float_window=true&amp;positioning_strategy=center_on_screen&amp;_doc_docfn=U2FsdGVkX18gVG/bOHDSzWXnSDxmmbN3+EJaiMDI1cZq/qmo6kyMFLKQ57IyZvrKbwIizY+pyt9cFnQN4ICmYwJVZgf/kxUn80LVlj2n8A0=&amp;_app_id=central_doc_viewer&amp;center_on_screen=true&amp;width=950&amp;height=800&amp;_dd2=%26f%3Dsld%26c%3Dtrue%26os%3D53428%26oe%3D53435" xr:uid="{73B07C5D-3408-4FFD-8E01-9E54A2055918}"/>
    <hyperlink ref="E9" r:id="rId4" display="fdsup://factset/Doc Viewer Single?float_window=true&amp;positioning_strategy=center_on_screen&amp;_doc_docfn=U2FsdGVkX18lny5+cr94q0N17aiv4WXXpDhw3IXt+mpxi9B51RS1fcmAtRwF8ybUnN9pe4MVPYw8fq/QHkZXoHTGIRHqmiJ7B5NoxNVqvOI=&amp;_app_id=central_doc_viewer&amp;center_on_screen=true&amp;width=950&amp;height=800&amp;_dd2=%26f%3Dsld%26c%3Dtrue%26os%3D54838%26oe%3D54845" xr:uid="{12802494-E577-4B04-BC2D-A52CDE24BC80}"/>
    <hyperlink ref="F9" r:id="rId5" display="fdsup://factset/Doc Viewer Single?float_window=true&amp;positioning_strategy=center_on_screen&amp;_doc_docfn=U2FsdGVkX18/PR/W4bpf7hSTgo4zK/YMegaYQLd2siUJZCm+W3CmIu+AS05MvnvQAR1YR+PnB9jrJ02aHiG3H7TbM8LIJb5Di2ejnBOAqY0=&amp;_app_id=central_doc_viewer&amp;center_on_screen=true&amp;width=950&amp;height=800&amp;_dd2=%26f%3Dsld%26c%3Dtrue%26os%3D119184%26oe%3D119191" xr:uid="{A8E7E9F1-AA06-4F29-B519-6A8F143E1109}"/>
    <hyperlink ref="G9" r:id="rId6" display="fdsup://factset/Doc Viewer Single?float_window=true&amp;positioning_strategy=center_on_screen&amp;_doc_docfn=U2FsdGVkX1+KuoBvbsYFQfuR9opOb52GoPrNPXYOM+Tcg9EZZYS4RYig/E535GrF0iYReRPuNnlfV21bWnuyWAYeg7vfty8Fs31GgPnb3k8=&amp;_app_id=central_doc_viewer&amp;center_on_screen=true&amp;width=950&amp;height=800&amp;_dd2=%26f%3Dsld%26c%3Dtrue%26os%3D199681%26oe%3D199688" xr:uid="{16D7580E-8EBB-4540-BD63-5ACF4D7AD82D}"/>
    <hyperlink ref="H9" r:id="rId7" display="fdsup://factset/Doc Viewer Single?float_window=true&amp;positioning_strategy=center_on_screen&amp;_doc_docfn=U2FsdGVkX198/TgnTNoyxbxNdR8rQlyMwzVpVcNuGzZ3a9S5EZstLqwq73wUQ4XHq7omLZ9ZPOAokCrP1L6XKYc09gZqq/1g89myePCLHpc=&amp;_app_id=central_doc_viewer&amp;center_on_screen=true&amp;width=950&amp;height=800&amp;_dd2=%26f%3Dsld%26c%3Dtrue%26os%3D134184%26oe%3D134191" xr:uid="{C0557884-3219-43C3-80E9-42CD2F8C7691}"/>
    <hyperlink ref="I9" r:id="rId8" display="fdsup://factset/Doc Viewer Single?float_window=true&amp;positioning_strategy=center_on_screen&amp;_doc_docfn=U2FsdGVkX1+OqrdlcqikSUFc4YKg/RILVVfij56Wly/JKEXS3862M+1uFbS59yk0gVhq5yjaZibHucjI84vywI8ZoqpUsLwi/Oac9wxBc+E=&amp;_app_id=central_doc_viewer&amp;center_on_screen=true&amp;width=950&amp;height=800&amp;_dd2=%26f%3Dsld%26c%3Dtrue%26os%3D121937%26oe%3D121944" xr:uid="{5A04B8EA-9044-4BA5-B1BC-FA5AA6C09A87}"/>
    <hyperlink ref="J9" r:id="rId9" display="fdsup://factset/Doc Viewer Single?float_window=true&amp;positioning_strategy=center_on_screen&amp;_doc_docfn=U2FsdGVkX1/ozb31P5Q0XShL9RruQf+g9foibrRbfFTHzJgSdAfN+ohrErBGPVJjYNZaWUpsLWJ1E376bJjTabMSi9XK4MnaEXo6qRjJmz0=&amp;_app_id=central_doc_viewer&amp;center_on_screen=true&amp;width=950&amp;height=800&amp;_dd2=%26f%3Dsld%26c%3Dtrue%26os%3D123383%26oe%3D123390" xr:uid="{A2D91CE9-1A96-45AC-8A16-99B6F5E2D0DF}"/>
    <hyperlink ref="K9" r:id="rId10" display="fdsup://factset/Doc Viewer Single?float_window=true&amp;positioning_strategy=center_on_screen&amp;_doc_docfn=U2FsdGVkX19PDvKsU8ri+QvY8FkuxpW6VhlrSFLDX8haFE4U5xXuwc43QU2fwm9jv7D9b6pL30mgPWFawG7jXqunq3XDs1icX0UyAR7wj24=&amp;_app_id=central_doc_viewer&amp;center_on_screen=true&amp;width=950&amp;height=800&amp;_dd2=%26f%3Dsld%26c%3Dtrue%26os%3D127377%26oe%3D127384" xr:uid="{D831B33A-604D-43E0-807E-A2BED9E2A6B5}"/>
    <hyperlink ref="B10" r:id="rId11" display="fdsup://factset/Doc Viewer Single?float_window=true&amp;positioning_strategy=center_on_screen&amp;_doc_docfn=U2FsdGVkX1/CNcoKiDViZ9tIEwIsWY0X+ji6wCpngBJDeCWKYIg//iIFB1mmEItWRKulU6j1AB54MMyXrAswMmwnDDlaV4LTgXZuTvXaPZ0=&amp;_app_id=central_doc_viewer&amp;center_on_screen=true&amp;width=950&amp;height=800&amp;_dd2=%26f%3Dsld%26c%3Dtrue%26os%3D52799%26oe%3D52806" xr:uid="{2BBE495A-EA37-4E53-BBAB-C3D37A9201C0}"/>
    <hyperlink ref="C10" r:id="rId12" display="fdsup://factset/Doc Viewer Single?float_window=true&amp;positioning_strategy=center_on_screen&amp;_doc_docfn=U2FsdGVkX19qhJ6+TAmd37U5BS1kK3ECleLUAbiGNCNzwxfTGQ8ctWxaXSVn/E5XyzwhYfJvP/hoPv+6pDbvBwhxaatWhgR1QMedPGqap0Q=&amp;_app_id=central_doc_viewer&amp;center_on_screen=true&amp;width=950&amp;height=800&amp;_dd2=%26f%3Dsld%26c%3Dtrue%26os%3D54069%26oe%3D54076" xr:uid="{59B9A82F-3AD7-45CA-9ABF-735A990C4866}"/>
    <hyperlink ref="D10" r:id="rId13" display="fdsup://factset/Doc Viewer Single?float_window=true&amp;positioning_strategy=center_on_screen&amp;_doc_docfn=U2FsdGVkX1/5f6igE+ZAXi7tRspnt5UXhMTiJVIjLs4GWFUsOD5kujL/eCMuY0fXfMb2ulfZUZqr9HjwM7uFeGZC9x91ZW3b2Ie8TeltRg0=&amp;_app_id=central_doc_viewer&amp;center_on_screen=true&amp;width=950&amp;height=800&amp;_dd2=%26f%3Dsld%26c%3Dtrue%26os%3D50360%26oe%3D50367" xr:uid="{345F38F8-DDAB-4287-A49E-D9EF3E4C4CA4}"/>
    <hyperlink ref="E10" r:id="rId14" display="fdsup://factset/Doc Viewer Single?float_window=true&amp;positioning_strategy=center_on_screen&amp;_doc_docfn=U2FsdGVkX196ICK3gKSJvQE1yWjiGlpvN1NEUWqabUdYNfkXNEB6kxuZvD5uA2RkMIYOoxisd44yzda7GNeHIlzPGsPKg5sndbRL+/HAsw8=&amp;_app_id=central_doc_viewer&amp;center_on_screen=true&amp;width=950&amp;height=800&amp;_dd2=%26f%3Dsld%26c%3Dtrue%26os%3D51767%26oe%3D51774" xr:uid="{1175B377-8D4F-4769-BEE9-6397A01EB6CA}"/>
    <hyperlink ref="F10" r:id="rId15" display="fdsup://factset/Doc Viewer Single?float_window=true&amp;positioning_strategy=center_on_screen&amp;_doc_docfn=U2FsdGVkX1+Gwrc2BaFdPCIGP5uQHm9N2renD0tPOyLAB3CwkTvJNQFVoKhqLXSDI+llVCWfBZR9Jn6XvZeh4kZjWVdED+hWWOTlWeWd7fM=&amp;_app_id=central_doc_viewer&amp;center_on_screen=true&amp;width=950&amp;height=800&amp;_dd2=%26f%3Dsld%26c%3Dtrue%26os%3D116334%26oe%3D116341" xr:uid="{0F1FC52B-A1A4-4927-A6EB-7078BFD9674E}"/>
    <hyperlink ref="G10" r:id="rId16" display="fdsup://factset/Doc Viewer Single?float_window=true&amp;positioning_strategy=center_on_screen&amp;_doc_docfn=U2FsdGVkX1/+sbfbAJiVX8NnVrJlNw9ZrwV5aZY5aUFFvFkj6lvW+euvYNuinKMgFcEgF8VxDns18juIhI18/v9LmihdET2ORw5XQPf1KPI=&amp;_app_id=central_doc_viewer&amp;center_on_screen=true&amp;width=950&amp;height=800&amp;_dd2=%26f%3Dsld%26c%3Dtrue%26os%3D196831%26oe%3D196838" xr:uid="{47CFAAE8-C18F-40FE-A393-2CBED72A86C7}"/>
    <hyperlink ref="H10" r:id="rId17" display="fdsup://factset/Doc Viewer Single?float_window=true&amp;positioning_strategy=center_on_screen&amp;_doc_docfn=U2FsdGVkX1/YWTr65KgsyNIE8YGJqq2L4yOdyWYaiqZscjU9Rbi9Rp1kghX2tc0sUWXE+5is9AlnrZmXxBtqZslYybJc1uae2iGU52YJyQo=&amp;_app_id=central_doc_viewer&amp;center_on_screen=true&amp;width=950&amp;height=800&amp;_dd2=%26f%3Dsld%26c%3Dtrue%26os%3D132735%26oe%3D132742" xr:uid="{895F644C-EA02-4A10-AC30-34EF037A5E2A}"/>
    <hyperlink ref="I10" r:id="rId18" display="fdsup://factset/Doc Viewer Single?float_window=true&amp;positioning_strategy=center_on_screen&amp;_doc_docfn=U2FsdGVkX1+8TMFRpsS2Osoc/ZaI+W0T/t+wTts+EUP2E1XgkW17z5mD56YaJCwQCpPOw01TUOzM9ukCTSlEDPehsQqa+cvpGiLxGoZwxLQ=&amp;_app_id=central_doc_viewer&amp;center_on_screen=true&amp;width=950&amp;height=800&amp;_dd2=%26f%3Dsld%26c%3Dtrue%26os%3D120488%26oe%3D120495" xr:uid="{ED6BF85A-D143-4808-91CC-AFF988D54E31}"/>
    <hyperlink ref="J10" r:id="rId19" display="fdsup://factset/Doc Viewer Single?float_window=true&amp;positioning_strategy=center_on_screen&amp;_doc_docfn=U2FsdGVkX19JznexWo4519Lc7+Q3YTrGhcLq29++A4cwvn719RtxWi2A1Z0gC1b8zBuG5L1bmeyWGu5y8Jlfrh07L6yoZrxWzbTMFXnV49w=&amp;_app_id=central_doc_viewer&amp;center_on_screen=true&amp;width=950&amp;height=800&amp;_dd2=%26f%3Dsld%26c%3Dtrue%26os%3D121934%26oe%3D121941" xr:uid="{D16A695A-952A-44DE-B107-EE6B758F8DB4}"/>
    <hyperlink ref="K10" r:id="rId20" display="fdsup://factset/Doc Viewer Single?float_window=true&amp;positioning_strategy=center_on_screen&amp;_doc_docfn=U2FsdGVkX1/QBz6KTNUV3DxCGdHCkS7ER8IpvqVJXDmU5Xq67XaAZsP1ACjd7qdxhVEMkuAN6kwHoSEtcBkYc29YsMSjgLGe83pj4eDuse4=&amp;_app_id=central_doc_viewer&amp;center_on_screen=true&amp;width=950&amp;height=800&amp;_dd2=%26f%3Dsld%26c%3Dtrue%26os%3D125928%26oe%3D125935" xr:uid="{D11207F2-C128-4DCD-8930-DC7068A266CA}"/>
    <hyperlink ref="B11" r:id="rId21" display="fdsup://factset/Doc Viewer Single?float_window=true&amp;positioning_strategy=center_on_screen&amp;_doc_docfn=U2FsdGVkX1/359HydM/eKtl1dF8l1qSJX4mabnaKnWy2UYknx6ruelVIGaMJUl9FNmCLGDUN3jr2Wsjm85TmYKIiPeflUpyzrmjA91pZgSg=&amp;_app_id=central_doc_viewer&amp;center_on_screen=true&amp;width=950&amp;height=800&amp;_dd2=%26f%3Dsld%26c%3Dtrue%26os%3D53554%26oe%3D53560" xr:uid="{732301AF-69F0-4C91-BF05-4BA29007278B}"/>
    <hyperlink ref="C11" r:id="rId22" display="fdsup://factset/Doc Viewer Single?float_window=true&amp;positioning_strategy=center_on_screen&amp;_doc_docfn=U2FsdGVkX1+AigkAzL6EFvlhvLn3C79mWydD92Su6zfLDMoN17GNqu23BPdkoUU/EHM7kM8DAcLWZT+QwCmW4ePys4hi+9gEw2UqsoKCCzM=&amp;_app_id=central_doc_viewer&amp;center_on_screen=true&amp;width=950&amp;height=800&amp;_dd2=%26f%3Dsld%26c%3Dtrue%26os%3D54824%26oe%3D54830" xr:uid="{E2015EBE-B00A-430E-948D-DC17137D5537}"/>
    <hyperlink ref="D11" r:id="rId23" display="fdsup://factset/Doc Viewer Single?float_window=true&amp;positioning_strategy=center_on_screen&amp;_doc_docfn=U2FsdGVkX196jTW1+u2T/Xd4PZJaHKq05KBnccAplIiLGesVr4e144rpUBIdip8X0Rt2zLmT8TmSl7e3PVk5UIx6n4aiSpycFQtVoxZR6nk=&amp;_app_id=central_doc_viewer&amp;center_on_screen=true&amp;width=950&amp;height=800&amp;_dd2=%26f%3Dsld%26c%3Dtrue%26os%3D51115%26oe%3D51121" xr:uid="{1413D734-CC99-434D-9D4E-724C04AC88A3}"/>
    <hyperlink ref="E11" r:id="rId24" display="fdsup://factset/Doc Viewer Single?float_window=true&amp;positioning_strategy=center_on_screen&amp;_doc_docfn=U2FsdGVkX1/JSn4IEZ8ZLsyxPN6V8kfWMAEAN20/cTTAlh8afwIai8BbBqIMlMieRgy8nRnBe85O9dqzBdnXZH2Sgpkup3WfteOMEV0YjZY=&amp;_app_id=central_doc_viewer&amp;center_on_screen=true&amp;width=950&amp;height=800&amp;_dd2=%26f%3Dsld%26c%3Dtrue%26os%3D52527%26oe%3D52533" xr:uid="{2D3B5B9B-9E51-4A6C-BD2E-078AAB3A6D47}"/>
    <hyperlink ref="F11" r:id="rId25" display="fdsup://factset/Doc Viewer Single?float_window=true&amp;positioning_strategy=center_on_screen&amp;_doc_docfn=U2FsdGVkX1/8kSSHelHusBSaUC3XCIWQYVwOxO6M+ZcztEbMlL2KfICCT5/DxEW8W4Vv3OA9zD7K63uo4gxuVN41B7k+uTftyGVS6evrB5M=&amp;_app_id=central_doc_viewer&amp;center_on_screen=true&amp;width=950&amp;height=800&amp;_dd2=%26f%3Dsld%26c%3Dtrue%26os%3D117038%26oe%3D117044" xr:uid="{C1DE5EA2-2F47-4F0C-8573-F3A0B51C7317}"/>
    <hyperlink ref="G11" r:id="rId26" display="fdsup://factset/Doc Viewer Single?float_window=true&amp;positioning_strategy=center_on_screen&amp;_doc_docfn=U2FsdGVkX18fA2Nz86E16Mhrfp6CFeH/+ciqxxHduxsiu4tOKJKadmLLxRagbB9jDx/xnr8Oafb/50i9CCgI7qRGz36KT2oCidx3MMHidAQ=&amp;_app_id=central_doc_viewer&amp;center_on_screen=true&amp;width=950&amp;height=800&amp;_dd2=%26f%3Dsld%26c%3Dtrue%26os%3D197535%26oe%3D197541" xr:uid="{CB36F542-9F3F-4666-AFFA-8EC1628CB62C}"/>
    <hyperlink ref="H11" r:id="rId27" display="fdsup://factset/Doc Viewer Single?float_window=true&amp;positioning_strategy=center_on_screen&amp;_doc_docfn=U2FsdGVkX19xQ8bNtjjLszl93/LRC6KQIdEaJd7M72TIu52sPid4jIYYCrjitw6MMha7kOVZztNyNvha+WMHPr4dsd+fEryvvPfD163x4Zo=&amp;_app_id=central_doc_viewer&amp;center_on_screen=true&amp;width=950&amp;height=800&amp;_dd2=%26f%3Dsld%26c%3Dtrue%26os%3D149694%26oe%3D149700" xr:uid="{3D134421-2DCF-4730-81AC-749F0D0100DD}"/>
    <hyperlink ref="I11" r:id="rId28" display="fdsup://factset/Doc Viewer Single?float_window=true&amp;positioning_strategy=center_on_screen&amp;_doc_docfn=U2FsdGVkX1+f7XvyxvKeqAQ1NDlTqwNT7x943NPGWEbBKp6hbMJqlB5x4WUg3KCrmTgh/aVQy0WzxluKxuyYmQaoZ6b1+N5drivorXIXGSc=&amp;_app_id=central_doc_viewer&amp;center_on_screen=true&amp;width=950&amp;height=800&amp;_dd2=%26f%3Dsld%26c%3Dtrue%26os%3D137445%26oe%3D137451" xr:uid="{F3A5DF8E-56BC-40E4-A336-82B8E226B58F}"/>
    <hyperlink ref="J11" r:id="rId29" display="fdsup://factset/Doc Viewer Single?float_window=true&amp;positioning_strategy=center_on_screen&amp;_doc_docfn=U2FsdGVkX1+/Psrc1EPioDxAwhfGrHUVl0VbKfHFMlUHHP43uUWSvLJJXn3paWHMq9Gg2SZ/+OsnQvLdcvgYaESrW7QNrALR9movpQlmpro=&amp;_app_id=central_doc_viewer&amp;center_on_screen=true&amp;width=950&amp;height=800&amp;_dd2=%26f%3Dsld%26c%3Dtrue%26os%3D139203%26oe%3D139209" xr:uid="{26EEF65E-5D5F-4CBB-B37D-8663E60099EB}"/>
    <hyperlink ref="K11" r:id="rId30" display="fdsup://factset/Doc Viewer Single?float_window=true&amp;positioning_strategy=center_on_screen&amp;_doc_docfn=U2FsdGVkX1+NeIb4gF+/cTl/1BrNzm+XUs+zYkMReIRDDTHarkRfPIEwLCK6eBJFWEQ7bd03tJTa+wxRfLlrZ3K8EwObaj5MGSK5MEGEs0g=&amp;_app_id=central_doc_viewer&amp;center_on_screen=true&amp;width=950&amp;height=800&amp;_dd2=%26f%3Dsld%26c%3Dtrue%26os%3D143967%26oe%3D143973" xr:uid="{B9D8BB8F-F8E5-41C3-9460-68A6862E9FA6}"/>
    <hyperlink ref="B12" r:id="rId31" display="fdsup://factset/Doc Viewer Single?float_window=true&amp;positioning_strategy=center_on_screen&amp;_doc_docfn=U2FsdGVkX18ZAjJa6Pa2qQ0KzoUrwkUnswSdXnXYSY2H7vIQHRiLT8+sFeB/L3cN5xAT/dsfwzmUmnmtN8b3tEk3YqZdJMsDng+U0VAfyP0=&amp;_app_id=central_doc_viewer&amp;center_on_screen=true&amp;width=950&amp;height=800&amp;_dd2=%26f%3Dsld%26c%3Dtrue%26os%3D54305%26oe%3D54311" xr:uid="{01340EDA-1F08-4B89-9819-C1FE1CED145E}"/>
    <hyperlink ref="C12" r:id="rId32" display="fdsup://factset/Doc Viewer Single?float_window=true&amp;positioning_strategy=center_on_screen&amp;_doc_docfn=U2FsdGVkX19y0IzIdfUaa2PeHrX2Z/9nDxD2QSepEl0a5cS5RxLjSRvLLTNFhQmJ4qMct9tC9tUP0VHfo8PHdrWf8uZ4p25KZmjEML59/sM=&amp;_app_id=central_doc_viewer&amp;center_on_screen=true&amp;width=950&amp;height=800&amp;_dd2=%26f%3Dsld%26c%3Dtrue%26os%3D55577%26oe%3D55583" xr:uid="{25D5927B-6273-4671-9905-B7F806669EC5}"/>
    <hyperlink ref="D12" r:id="rId33" display="fdsup://factset/Doc Viewer Single?float_window=true&amp;positioning_strategy=center_on_screen&amp;_doc_docfn=U2FsdGVkX189Zf/bDDrR+alZpzdjVn2ZcyoQW2p5GfNsP0kaKwv1qSXTv1W437jlbktbuJZpr6n+WWVqlOmVpFa31oalbA4qLPRJYh635vU=&amp;_app_id=central_doc_viewer&amp;center_on_screen=true&amp;width=950&amp;height=800&amp;_dd2=%26f%3Dsld%26c%3Dtrue%26os%3D51870%26oe%3D51876" xr:uid="{72C4D16A-8D49-45B3-B31C-5B10FEB6F17B}"/>
    <hyperlink ref="E12" r:id="rId34" display="fdsup://factset/Doc Viewer Single?float_window=true&amp;positioning_strategy=center_on_screen&amp;_doc_docfn=U2FsdGVkX1/8U8D+IKQf3f44LkvrT3RojhqW7jhhyNZc5yO+7fTLEU0sItJnMAeFqBbQanvZGmhDMMS5S8NF6c4IOsJoEzzQMeuI0hBPTtM=&amp;_app_id=central_doc_viewer&amp;center_on_screen=true&amp;width=950&amp;height=800&amp;_dd2=%26f%3Dsld%26c%3Dtrue%26os%3D53283%26oe%3D53289" xr:uid="{ABAE33F4-2611-45CE-BAF3-3538C1E96048}"/>
    <hyperlink ref="F12" r:id="rId35" display="fdsup://factset/Doc Viewer Single?float_window=true&amp;positioning_strategy=center_on_screen&amp;_doc_docfn=U2FsdGVkX19YseuWGXbxjlr0se0nnGhcuCbW57C50AtIS7IhS0HJTOc6nFYjyU2g8ERegxu4qzTmvuDLQEbliL/o2vvQlsgfdrQKBsBlQ1Y=&amp;_app_id=central_doc_viewer&amp;center_on_screen=true&amp;width=950&amp;height=800&amp;_dd2=%26f%3Dsld%26c%3Dtrue%26os%3D117738%26oe%3D117744" xr:uid="{494152C2-22CE-4AC6-BA99-8DD0EA8C44D0}"/>
    <hyperlink ref="G12" r:id="rId36" display="fdsup://factset/Doc Viewer Single?float_window=true&amp;positioning_strategy=center_on_screen&amp;_doc_docfn=U2FsdGVkX1+LoLrzTcJ/LAMN8YVOWQnbO7fSfXm2hs18WzFL7z066MKPr7mPEaf+xQVIeosCBvTgpT41A888S4yEEeT6sKfGcsEdkMPhLYE=&amp;_app_id=central_doc_viewer&amp;center_on_screen=true&amp;width=950&amp;height=800&amp;_dd2=%26f%3Dsld%26c%3Dtrue%26os%3D198235%26oe%3D198241" xr:uid="{D041E735-CB12-4471-AB25-D616BF83C88C}"/>
    <hyperlink ref="H12" r:id="rId37" display="fdsup://factset/Doc Viewer Single?float_window=true&amp;positioning_strategy=center_on_screen&amp;_doc_docfn=U2FsdGVkX18ArGT6qKYB0xG/Eyja6m4AgXOglFPdvayKjQN2cJKEksxHDPLCoDAagPmfCo4Qfw/CaNHq/qGs7rUjz9h6fVm6zTfk+Z2eHqM=&amp;_app_id=central_doc_viewer&amp;center_on_screen=true&amp;width=950&amp;height=800&amp;_dd2=%26f%3Dsld%26c%3Dtrue%26os%3D150809%26oe%3D150815" xr:uid="{74E7A8B7-9E6A-4602-8247-133495D73631}"/>
    <hyperlink ref="I12" r:id="rId38" display="fdsup://factset/Doc Viewer Single?float_window=true&amp;positioning_strategy=center_on_screen&amp;_doc_docfn=U2FsdGVkX18uVKAABc+O1zafg8C8d66r1g205JFxPewfv3jnZ1B29jBjz3CPUcbU0nRX/2MrASfefiBf6bMDOY8nA0XHKeDaTp36vmkbnbo=&amp;_app_id=central_doc_viewer&amp;center_on_screen=true&amp;width=950&amp;height=800&amp;_dd2=%26f%3Dsld%26c%3Dtrue%26os%3D138560%26oe%3D138566" xr:uid="{A9CED446-4C12-4DA3-8A9F-2B150D9E3046}"/>
    <hyperlink ref="J12" r:id="rId39" display="fdsup://factset/Doc Viewer Single?float_window=true&amp;positioning_strategy=center_on_screen&amp;_doc_docfn=U2FsdGVkX1+oCTlPKJPOG7VnC0zgst1K1tfXzjCkE1zW9M2ovJObb/HB6KRCo894DZhlj2KOff8mTmS004dtBAy6BsiFR+afzlOcnarjsrg=&amp;_app_id=central_doc_viewer&amp;center_on_screen=true&amp;width=950&amp;height=800&amp;_dd2=%26f%3Dsld%26c%3Dtrue%26os%3D140630%26oe%3D140636" xr:uid="{439CFA70-CD1F-431C-9E3A-9FDD98E795C4}"/>
    <hyperlink ref="K12" r:id="rId40" display="fdsup://factset/Doc Viewer Single?float_window=true&amp;positioning_strategy=center_on_screen&amp;_doc_docfn=U2FsdGVkX187/rjctfQ+DN5PYwzoXBMgamDIU10Z38rzygz1G6Y7UhdbciMxooxaarv+WAVhOqjDgQAHCgiD15JaYiC9YfNUhLcMGbUGrPA=&amp;_app_id=central_doc_viewer&amp;center_on_screen=true&amp;width=950&amp;height=800&amp;_dd2=%26f%3Dsld%26c%3Dtrue%26os%3D145394%26oe%3D145400" xr:uid="{24C4916F-5C37-4080-BB40-31F3DF1883A9}"/>
    <hyperlink ref="B13" r:id="rId41" display="fdsup://factset/Doc Viewer Single?float_window=true&amp;positioning_strategy=center_on_screen&amp;_doc_docfn=U2FsdGVkX1+BvfEZilCLrm0+i7LQnlggmNEuPeArw663ywU/nfCH6bGcgSmeL8SG40flWVKk/hP0pcuSdFfV2qt1DHZYb4FJA0MByXB7v10=&amp;_app_id=central_doc_viewer&amp;center_on_screen=true&amp;width=950&amp;height=800&amp;_dd2=%26f%3Dsld%26c%3Dtrue%26os%3D55093%26oe%3D55096" xr:uid="{2ABC3D3A-6FD5-4707-B98A-B3C1B2FC3C5D}"/>
    <hyperlink ref="C13" r:id="rId42" display="fdsup://factset/Doc Viewer Single?float_window=true&amp;positioning_strategy=center_on_screen&amp;_doc_docfn=U2FsdGVkX18K0DdJP+0meHDiCyTIEI0BxWtXyylvv23pOo1tEpv6DLB4nDBgEW7ftEhqg5t63Ud+vjkJr8c4W6Xm7O6C8KheklQVnzvXuNY=&amp;_app_id=central_doc_viewer&amp;center_on_screen=true&amp;width=950&amp;height=800&amp;_dd2=%26f%3Dsld%26c%3Dtrue%26os%3D56367%26oe%3D56370" xr:uid="{12455E25-B94D-4187-BD95-F3456A78F17A}"/>
    <hyperlink ref="D13" r:id="rId43" display="fdsup://factset/Doc Viewer Single?float_window=true&amp;positioning_strategy=center_on_screen&amp;_doc_docfn=U2FsdGVkX185JFhQCKY0nbKbUiYH5Tgv7LWR8MHL4ZHRgeaFlyxKaRL8isYb/wY5N+6U6aHl4hw8TQ6p9mHu9yrnD6uDDib3PeXpI8m7w+k=&amp;_app_id=central_doc_viewer&amp;center_on_screen=true&amp;width=950&amp;height=800&amp;_dd2=%26f%3Dsld%26c%3Dtrue%26os%3D52661%26oe%3D52666" xr:uid="{85CC5EC7-2C22-4C38-85A5-AD3C7E0B8155}"/>
    <hyperlink ref="E13" r:id="rId44" display="fdsup://factset/Doc Viewer Single?float_window=true&amp;positioning_strategy=center_on_screen&amp;_doc_docfn=U2FsdGVkX1/W2eOYhoWXLOWqZdJXhq/Vq0mGrPMZokAXQdxq/h1Bf3PHy9UVZ3/p7tAT0XlaK2TARx145YWrW+mfVDAVcRM1Q+jbhkoRmZA=&amp;_app_id=central_doc_viewer&amp;center_on_screen=true&amp;width=950&amp;height=800&amp;_dd2=%26f%3Dsld%26c%3Dtrue%26os%3D54068%26oe%3D54073" xr:uid="{34AC9C09-663C-4B5D-BC29-13E221C21564}"/>
    <hyperlink ref="F13" r:id="rId45" display="fdsup://factset/Doc Viewer Single?float_window=true&amp;positioning_strategy=center_on_screen&amp;_doc_docfn=U2FsdGVkX1+BDpSuNe61CyCQ2bsQ6aYNBp3FXcxPorUXVD+CXxEv4fcusm35hk4/mEmS9eVX4cKubHZlP40LCl0HJromm1/aiMoVkLMZYyw=&amp;_app_id=central_doc_viewer&amp;center_on_screen=true&amp;width=950&amp;height=800&amp;_dd2=%26f%3Dsld%26c%3Dtrue%26os%3D118467%26oe%3D118472" xr:uid="{5622A237-78CD-49D6-8F6F-7A3616FAD91B}"/>
    <hyperlink ref="G13" r:id="rId46" display="fdsup://factset/Doc Viewer Single?float_window=true&amp;positioning_strategy=center_on_screen&amp;_doc_docfn=U2FsdGVkX1/e1OUg0lnv8liBnwf5N6vQA1LgUCAdsQPJyMzwqG6WuY5UcosVEx+UvScebnaq00oEJYfkggnrAfXDbJ3fGBVRZIgptGQK/ng=&amp;_app_id=central_doc_viewer&amp;center_on_screen=true&amp;width=950&amp;height=800&amp;_dd2=%26f%3Dsld%26c%3Dtrue%26os%3D198964%26oe%3D198969" xr:uid="{C102F2B3-45FD-462B-B17A-535F07ECDDDB}"/>
    <hyperlink ref="H13" r:id="rId47" display="fdsup://factset/Doc Viewer Single?float_window=true&amp;positioning_strategy=center_on_screen&amp;_doc_docfn=U2FsdGVkX190jl/6xMMBYxqsYUQwxuGLVb/tMPS4+W07vgNvv3nzn7njOqPWp8VViSkcUDms1qNcjo8X6jEHb+aagnJX5VdAvNNKTWFqS+s=&amp;_app_id=central_doc_viewer&amp;center_on_screen=true&amp;width=950&amp;height=800&amp;_dd2=%26f%3Dsld%26c%3Dtrue%26os%3D133467%26oe%3D133472" xr:uid="{D20E0066-0D5C-4B17-9AA2-7BA09630C98D}"/>
    <hyperlink ref="I13" r:id="rId48" display="fdsup://factset/Doc Viewer Single?float_window=true&amp;positioning_strategy=center_on_screen&amp;_doc_docfn=U2FsdGVkX1/FTEfA/d4tM+Xmt6nLDPRhh/LeobIechglwTneoKwxjsW08sGuFJRMQFIihvUWBzK2IblWN/fBeopLh/6Viavf/uKMHHY7A1s=&amp;_app_id=central_doc_viewer&amp;center_on_screen=true&amp;width=950&amp;height=800&amp;_dd2=%26f%3Dsld%26c%3Dtrue%26os%3D121220%26oe%3D121225" xr:uid="{0E0FCF16-D7F2-4816-B94E-3798F13892D2}"/>
    <hyperlink ref="J13" r:id="rId49" display="fdsup://factset/Doc Viewer Single?float_window=true&amp;positioning_strategy=center_on_screen&amp;_doc_docfn=U2FsdGVkX1+18OM2DSUXaHTBgALeT+jCyrzUO2v+CAi7niSVZ6ZmHZaTVZwcXgr5BXYj6TMTri5ncEN+g1xQC0IIovcPkIS4MscB9yjHOrA=&amp;_app_id=central_doc_viewer&amp;center_on_screen=true&amp;width=950&amp;height=800&amp;_dd2=%26f%3Dsld%26c%3Dtrue%26os%3D122666%26oe%3D122671" xr:uid="{A92A2077-158E-4D98-92A2-D850EAB40117}"/>
    <hyperlink ref="K13" r:id="rId50" display="fdsup://factset/Doc Viewer Single?float_window=true&amp;positioning_strategy=center_on_screen&amp;_doc_docfn=U2FsdGVkX197kAbYNyn2Gy31RfuoBsjRy5qEzRpG/CBoRVb/MfULlOaexk4EzO2ldrsVAD377K462u22CIdWD+PovdR0sApuEY8po9sIe/Y=&amp;_app_id=central_doc_viewer&amp;center_on_screen=true&amp;width=950&amp;height=800&amp;_dd2=%26f%3Dsld%26c%3Dtrue%26os%3D126660%26oe%3D126665" xr:uid="{C42FD4FE-6815-4176-A8F9-5969D432ECAA}"/>
    <hyperlink ref="B14" r:id="rId51" display="fdsup://factset/Doc Viewer Single?float_window=true&amp;positioning_strategy=center_on_screen&amp;_doc_docfn=U2FsdGVkX1+n87KUWZZDLziV4Yxjezpji4D2di/oPDDj9FrMejt8h7nkXl4gnlelfydFkrWSfedJ+daiGrFSEvqTOD0voIN6WxR3Q/v2keY=&amp;_app_id=central_doc_viewer&amp;center_on_screen=true&amp;width=950&amp;height=800&amp;_dd2=%26f%3Dsld%26c%3Dtrue%26os%3D60149%26oe%3D60156" xr:uid="{68C89A3D-AE8E-4199-A260-E9104C346D86}"/>
    <hyperlink ref="C14" r:id="rId52" display="fdsup://factset/Doc Viewer Single?float_window=true&amp;positioning_strategy=center_on_screen&amp;_doc_docfn=U2FsdGVkX1+AzEgG6D4YMiRZnPglsrm57Cz40l/6pDvZMN1ejs+ytl5abeOuISUUiNrRgLttAUtm0ZHABGsxVY6ffBUp0NtpLba3HqtONLo=&amp;_app_id=central_doc_viewer&amp;center_on_screen=true&amp;width=950&amp;height=800&amp;_dd2=%26f%3Dsld%26c%3Dtrue%26os%3D61427%26oe%3D61434" xr:uid="{C037B388-5929-4FF9-B171-0BC505BD9D25}"/>
    <hyperlink ref="D14" r:id="rId53" display="fdsup://factset/Doc Viewer Single?float_window=true&amp;positioning_strategy=center_on_screen&amp;_doc_docfn=U2FsdGVkX19+MnqrhfozmVCMCo0FMQz9r7y8tHo8Xf/j4vUaiRQwYDteYn4EmXFOArjXRhOBZzvvBNsbLD03EgRIN0Qcskc7FSU4VSE5ULs=&amp;_app_id=central_doc_viewer&amp;center_on_screen=true&amp;width=950&amp;height=800&amp;_dd2=%26f%3Dsld%26c%3Dtrue%26os%3D57727%26oe%3D57734" xr:uid="{FF76A9F3-6226-497D-ABFC-0AB7A68E9D60}"/>
    <hyperlink ref="E14" r:id="rId54" display="fdsup://factset/Doc Viewer Single?float_window=true&amp;positioning_strategy=center_on_screen&amp;_doc_docfn=U2FsdGVkX1/bwb4tOMzONlUWKv8GKiX47S2YP9yE6EJ/oaypJ3NMwfHoBq6y/xQMrlUn9YAsG6uljRUJ5mAxcGQlfHk8mp7VoT+WXl4wPTM=&amp;_app_id=central_doc_viewer&amp;center_on_screen=true&amp;width=950&amp;height=800&amp;_dd2=%26f%3Dsld%26c%3Dtrue%26os%3D59170%26oe%3D59177" xr:uid="{6F998027-1B0A-4197-9519-A9BB70AACD86}"/>
    <hyperlink ref="F14" r:id="rId55" display="fdsup://factset/Doc Viewer Single?float_window=true&amp;positioning_strategy=center_on_screen&amp;_doc_docfn=U2FsdGVkX18Qb2JCeIp/8zGfl8g1vV3Lm4X1uPkt+00fAmrMRcneRUzE/f8b2950jIVVxO0fR5yeuhUMu1ZYAoiMyvgSMyM1LYcl0HTo8TU=&amp;_app_id=central_doc_viewer&amp;center_on_screen=true&amp;width=950&amp;height=800&amp;_dd2=%26f%3Dsld%26c%3Dtrue%26os%3D123195%26oe%3D123202" xr:uid="{C480868B-9D65-4BA7-8320-4E9A092D243A}"/>
    <hyperlink ref="G14" r:id="rId56" display="fdsup://factset/Doc Viewer Single?float_window=true&amp;positioning_strategy=center_on_screen&amp;_doc_docfn=U2FsdGVkX19gg4HmMlNvuiFf0HT2no6RD3psgFzPtmzdVOTJOhHOeQpDpvI5I0FubIoB3R6hlfiTVQSm6pLlM93vyu1gNt89hvrvrPdDjyM=&amp;_app_id=central_doc_viewer&amp;center_on_screen=true&amp;width=950&amp;height=800&amp;_dd2=%26f%3Dsld%26c%3Dtrue%26os%3D203692%26oe%3D203699" xr:uid="{C1B03DC4-E07D-460B-B117-ACDB4B6AA4CA}"/>
    <hyperlink ref="H14" r:id="rId57" display="fdsup://factset/Doc Viewer Single?float_window=true&amp;positioning_strategy=center_on_screen&amp;_doc_docfn=U2FsdGVkX18j3vMXpxNDpMLYKkwkxB7cBoWMLSiRiU5yzUOi+eKxe+8I0d5owVrZ9Ikw4N/Gy+PR3mEgNyq+NRB1U3vkYsdY/A47yXxTNR8=&amp;_app_id=central_doc_viewer&amp;center_on_screen=true&amp;width=950&amp;height=800&amp;_dd2=%26f%3Dsld%26c%3Dtrue%26os%3D138195%26oe%3D138202" xr:uid="{F1C746FC-EA8D-48CD-A597-F2D1764D89F8}"/>
    <hyperlink ref="I14" r:id="rId58" display="fdsup://factset/Doc Viewer Single?float_window=true&amp;positioning_strategy=center_on_screen&amp;_doc_docfn=U2FsdGVkX1+uZDtgY6VOimku1QvxJg8K4bj3n9/PoiMDU+zpVl47ky2OoQpZlTm6D5Zdc1VHMndSudA4sDXU3GPJlOMV1Q6tE7ZwZsuLT68=&amp;_app_id=central_doc_viewer&amp;center_on_screen=true&amp;width=950&amp;height=800&amp;_dd2=%26f%3Dsld%26c%3Dtrue%26os%3D125948%26oe%3D125955" xr:uid="{1C7DD943-FE64-4CFA-BB36-ABF0FD2A3002}"/>
    <hyperlink ref="J14" r:id="rId59" display="fdsup://factset/Doc Viewer Single?float_window=true&amp;positioning_strategy=center_on_screen&amp;_doc_docfn=U2FsdGVkX18sK0urkG4q99Yvw3PnZII/fcNnhrb4ccAWYoiP2IOe/sSe7Y8rBqwNAE6+ilbp+U6K5jAe5QrrZYlWlQV+hTKlOogkW6HMrN0=&amp;_app_id=central_doc_viewer&amp;center_on_screen=true&amp;width=950&amp;height=800&amp;_dd2=%26f%3Dsld%26c%3Dtrue%26os%3D127394%26oe%3D127401" xr:uid="{F369EFEA-CF5F-4758-B1A6-509E512DE076}"/>
    <hyperlink ref="K14" r:id="rId60" display="fdsup://factset/Doc Viewer Single?float_window=true&amp;positioning_strategy=center_on_screen&amp;_doc_docfn=U2FsdGVkX1/cuAH1Gl+1RhQa1cs1YKKxhj6TZRuo8awTatfBLQtEdrBnpwHKwKPoglboZrEIFPzAvvm7uslBCtjRJzMYj580k4ehI5EjoJM=&amp;_app_id=central_doc_viewer&amp;center_on_screen=true&amp;width=950&amp;height=800&amp;_dd2=%26f%3Dsld%26c%3Dtrue%26os%3D131367%26oe%3D131374" xr:uid="{34C27D9F-7C05-4B28-AB56-165FEEC3AFD7}"/>
    <hyperlink ref="B15" r:id="rId61" display="fdsup://factset/Doc Viewer Single?float_window=true&amp;positioning_strategy=center_on_screen&amp;_doc_docfn=U2FsdGVkX19/CLkpdbdRY/ybV4/lRHUT+jYlylVOuBoCc8mgqaQ3sqSlL+kTR8XqQ70BYi++BNfNAFVMNIP1fEgUz3CpzIm7ZYqmcmthx7w=&amp;_app_id=central_doc_viewer&amp;center_on_screen=true&amp;width=950&amp;height=800&amp;_dd2=%26f%3Dsld%26c%3Dtrue%26os%3D56984%26oe%3D56991" xr:uid="{3D476019-C81D-4BC7-A805-8C17B444067B}"/>
    <hyperlink ref="C15" r:id="rId62" display="fdsup://factset/Doc Viewer Single?float_window=true&amp;positioning_strategy=center_on_screen&amp;_doc_docfn=U2FsdGVkX19JQudqLzdOZMc8YnVTXIr8TQSKi/EH5hXnQZPyQnejuAbaMwMx+YD2KPi7HqzjTYADtLn8u87lrXJjFMqOVOXMPAiqALtknTM=&amp;_app_id=central_doc_viewer&amp;center_on_screen=true&amp;width=950&amp;height=800&amp;_dd2=%26f%3Dsld%26c%3Dtrue%26os%3D58258%26oe%3D58265" xr:uid="{5AF0E159-CAB3-4B2C-8E95-78818E594F9F}"/>
    <hyperlink ref="D15" r:id="rId63" display="fdsup://factset/Doc Viewer Single?float_window=true&amp;positioning_strategy=center_on_screen&amp;_doc_docfn=U2FsdGVkX18XL/86J6O7qTljRs1f7Tklv1iujZ42NPq9LwGYWl1HSgMMjTDRW9t3BZQ+iRFGkkyu+4vsy9ooiGbPXA8ws0lgnKQZR1c537k=&amp;_app_id=central_doc_viewer&amp;center_on_screen=true&amp;width=950&amp;height=800&amp;_dd2=%26f%3Dsld%26c%3Dtrue%26os%3D54554%26oe%3D54561" xr:uid="{F86E766D-2E88-426F-9DB1-75E17E26D85D}"/>
    <hyperlink ref="E15" r:id="rId64" display="fdsup://factset/Doc Viewer Single?float_window=true&amp;positioning_strategy=center_on_screen&amp;_doc_docfn=U2FsdGVkX1/YjPOT7Q4YGa+JDJ+NcmpY5wLGQ4J1uf40/Z5WXGADi+6PipuPfqWFQQYjfPwMHqI06uE7ZAziNF3uCV+stw+tSU9yshy270c=&amp;_app_id=central_doc_viewer&amp;center_on_screen=true&amp;width=950&amp;height=800&amp;_dd2=%26f%3Dsld%26c%3Dtrue%26os%3D55964%26oe%3D55971" xr:uid="{F8081A98-AF64-41A6-8F23-3FABA171DA45}"/>
    <hyperlink ref="F15" r:id="rId65" display="fdsup://factset/Doc Viewer Single?float_window=true&amp;positioning_strategy=center_on_screen&amp;_doc_docfn=U2FsdGVkX19WmK1SlZd4+lpRhdWYSVJ3jM7KmfG9tdc7Vin9aV0LUAj0i5h3T/sOnpGlVh8DCLXOfjrJl8yl/knMHwbzF82MEPYwTBXukZw=&amp;_app_id=central_doc_viewer&amp;center_on_screen=true&amp;width=950&amp;height=800&amp;_dd2=%26f%3Dsld%26c%3Dtrue%26os%3D120213%26oe%3D120220" xr:uid="{E913D5A4-3BBA-4B61-B2D2-A64B5306E5BC}"/>
    <hyperlink ref="G15" r:id="rId66" display="fdsup://factset/Doc Viewer Single?float_window=true&amp;positioning_strategy=center_on_screen&amp;_doc_docfn=U2FsdGVkX1/wzjcgbBeQrVvRT7OdfqhA5NILRTV/kRPgYwlnBBLefKrOidVsQ5Reb4JXiYaCKaipPCIlpTz/8OfZF2O49AJ4W/LdWb5A+GI=&amp;_app_id=central_doc_viewer&amp;center_on_screen=true&amp;width=950&amp;height=800&amp;_dd2=%26f%3Dsld%26c%3Dtrue%26os%3D200710%26oe%3D200717" xr:uid="{D45A8BAC-F47C-4375-8A02-E6DD887E64FB}"/>
    <hyperlink ref="H15" r:id="rId67" display="fdsup://factset/Doc Viewer Single?float_window=true&amp;positioning_strategy=center_on_screen&amp;_doc_docfn=U2FsdGVkX1/3Ltk6KJURgEYAja1qoqpkMbRLP3ckLDeSSxltK71KwAO39kTrqaLhG4aE0i6vBmFYJPbEdoVNBtJbYjXJ2burP84I+yI9p1A=&amp;_app_id=central_doc_viewer&amp;center_on_screen=true&amp;width=950&amp;height=800&amp;_dd2=%26f%3Dsld%26c%3Dtrue%26os%3D135213%26oe%3D135220" xr:uid="{00EA6431-E1B8-4420-A5DF-57FA682281C0}"/>
    <hyperlink ref="I15" r:id="rId68" display="fdsup://factset/Doc Viewer Single?float_window=true&amp;positioning_strategy=center_on_screen&amp;_doc_docfn=U2FsdGVkX1+mWLgorUq8BWyju7HL19BRmAe0jsn80FjSQ9EeUbHaHv/JdbSg7TsLXX4ykzlodwI3IONqtp2NrztKSkic4fQ/rWEZSRddvnI=&amp;_app_id=central_doc_viewer&amp;center_on_screen=true&amp;width=950&amp;height=800&amp;_dd2=%26f%3Dsld%26c%3Dtrue%26os%3D122966%26oe%3D122973" xr:uid="{94EBE459-6A85-40EF-A8D0-4948C9F8E395}"/>
    <hyperlink ref="J15" r:id="rId69" display="fdsup://factset/Doc Viewer Single?float_window=true&amp;positioning_strategy=center_on_screen&amp;_doc_docfn=U2FsdGVkX19+zYux2u+4kNYWjKum7MFK4e6TRoFWx52PdNw3duoVCdw/SDXYdNzIoq3xgD0b9NUV3+mK2v7vlrrbNbzsfa/hXH/3KTVfpPM=&amp;_app_id=central_doc_viewer&amp;center_on_screen=true&amp;width=950&amp;height=800&amp;_dd2=%26f%3Dsld%26c%3Dtrue%26os%3D124412%26oe%3D124419" xr:uid="{F72503AD-347A-4B43-9870-F55B26E3B388}"/>
    <hyperlink ref="K15" r:id="rId70" display="fdsup://factset/Doc Viewer Single?float_window=true&amp;positioning_strategy=center_on_screen&amp;_doc_docfn=U2FsdGVkX19cKMI2t6jScPFNYiP4shl03xCEQ8nzYKEb4QR+3Co1J3x0mbFqxudj/1rqJEM+RWTgP5msEYb3bGCmccw8u7l0b9kAWALBN+I=&amp;_app_id=central_doc_viewer&amp;center_on_screen=true&amp;width=950&amp;height=800&amp;_dd2=%26f%3Dsld%26c%3Dtrue%26os%3D128399%26oe%3D128406" xr:uid="{C858F89D-0B41-4B18-BD8E-6B496C6D9236}"/>
    <hyperlink ref="B16" r:id="rId71" display="fdsup://factset/Doc Viewer Single?float_window=true&amp;positioning_strategy=center_on_screen&amp;_doc_docfn=U2FsdGVkX191r1ihiLpczDWsppej5r3MHWLKswTHjqcQ45VkbNmi00Z8y/qnPP5xFa0V9g+GwNoSmAcy5wflOp5dblWcVZZZoiHt/pWJ14E=&amp;_app_id=central_doc_viewer&amp;center_on_screen=true&amp;width=950&amp;height=800&amp;_dd2=%26f%3Dsld%26c%3Dtrue%26os%3D57816%26oe%3D57822" xr:uid="{EAA9F914-799C-4784-967A-CE88E785A029}"/>
    <hyperlink ref="C16" r:id="rId72" display="fdsup://factset/Doc Viewer Single?float_window=true&amp;positioning_strategy=center_on_screen&amp;_doc_docfn=U2FsdGVkX1/VHPVQ3EEf2hBIduSKqm8Xe0sSIICMAk+ZHlIWdmTymrPMRMp8rxHDnkKCFvo+TikI4qFjqqtiEMzR8D/swZqHZBo8JQy5Bus=&amp;_app_id=central_doc_viewer&amp;center_on_screen=true&amp;width=950&amp;height=800&amp;_dd2=%26f%3Dsld%26c%3Dtrue%26os%3D59092%26oe%3D59098" xr:uid="{84C3C5D1-435F-4C18-BDCE-95A95C88EF24}"/>
    <hyperlink ref="D16" r:id="rId73" display="fdsup://factset/Doc Viewer Single?float_window=true&amp;positioning_strategy=center_on_screen&amp;_doc_docfn=U2FsdGVkX18IKDm/GeH07U9nLbhtAi6L8kBg7ZUeQQ4rwP4kcXpIVvlZa2yOhUGJHgiogPJwO6tRAwUXTClcbCL+ZpwolltNIbNPFAmOXbY=&amp;_app_id=central_doc_viewer&amp;center_on_screen=true&amp;width=950&amp;height=800&amp;_dd2=%26f%3Dsld%26c%3Dtrue%26os%3D55390%26oe%3D55396" xr:uid="{AAC6C2FF-EA80-4414-9887-5EB01188B57E}"/>
    <hyperlink ref="E16" r:id="rId74" display="fdsup://factset/Doc Viewer Single?float_window=true&amp;positioning_strategy=center_on_screen&amp;_doc_docfn=U2FsdGVkX19wsCwDdEPM+q6y2OzUM5KkjlS9GJQwG57bT6cjmg4/H0k09+4bL5CNluJ2QqqLFNAkf7d5/Tpz1TLTpTX1ks+ly9Fbix7CZnE=&amp;_app_id=central_doc_viewer&amp;center_on_screen=true&amp;width=950&amp;height=800&amp;_dd2=%26f%3Dsld%26c%3Dtrue%26os%3D56800%26oe%3D56806" xr:uid="{945FF3F1-2DAD-4A2F-BDE5-6ADADDD20EF5}"/>
    <hyperlink ref="F16" r:id="rId75" display="fdsup://factset/Doc Viewer Single?float_window=true&amp;positioning_strategy=center_on_screen&amp;_doc_docfn=U2FsdGVkX1+lByHbyY01xVsX69PmrevZmoZJnpcgQej35dsG5jflbwcLvxpIXHbFqYAUeVXxTZqBKMKgGrx3mWwmlBKCNxQiwRZsw1YGADw=&amp;_app_id=central_doc_viewer&amp;center_on_screen=true&amp;width=950&amp;height=800&amp;_dd2=%26f%3Dsld%26c%3Dtrue%26os%3D120993%26oe%3D120999" xr:uid="{3ABAC9BF-0C1C-4777-BF5F-6B07EFE2B498}"/>
    <hyperlink ref="G16" r:id="rId76" display="fdsup://factset/Doc Viewer Single?float_window=true&amp;positioning_strategy=center_on_screen&amp;_doc_docfn=U2FsdGVkX1+cpJWjKti3+O+1/UY9v+Rl7rv4bBWTis6Djro3R/Qnh5RNeSewX7kUXqa51WFG6Blp/UG5z0UkV0/+bSGRVd6xSGThnoyCZAA=&amp;_app_id=central_doc_viewer&amp;center_on_screen=true&amp;width=950&amp;height=800&amp;_dd2=%26f%3Dsld%26c%3Dtrue%26os%3D201490%26oe%3D201496" xr:uid="{08FDE4D5-E480-4117-ABFB-BCCDEDD66727}"/>
    <hyperlink ref="H16" r:id="rId77" display="fdsup://factset/Doc Viewer Single?float_window=true&amp;positioning_strategy=center_on_screen&amp;_doc_docfn=U2FsdGVkX1/8Xnmon76Ih27eZNicLkLRd5aBn02O0CCwblLVK+wUsjGydxsSnR7WYBff+CZkLH3xbS6k6IXO+K8PasjfyxBjrVrIIl8DiR0=&amp;_app_id=central_doc_viewer&amp;center_on_screen=true&amp;width=950&amp;height=800&amp;_dd2=%26f%3Dsld%26c%3Dtrue%26os%3D135993%26oe%3D135999" xr:uid="{A61093FB-879B-4C04-92C9-53B5340B7DDF}"/>
    <hyperlink ref="I16" r:id="rId78" display="fdsup://factset/Doc Viewer Single?float_window=true&amp;positioning_strategy=center_on_screen&amp;_doc_docfn=U2FsdGVkX1//+Luc7gSg1geBgjvW1wqg2uOZujdEyS5WHquxeL6odj/0E2Z6IXnlBNfmbaBcPgh6OZQc7xoGgBu9YKTEHi2ZhTxWqmPI0X8=&amp;_app_id=central_doc_viewer&amp;center_on_screen=true&amp;width=950&amp;height=800&amp;_dd2=%26f%3Dsld%26c%3Dtrue%26os%3D123746%26oe%3D123752" xr:uid="{833E1E3D-F0EF-427D-9210-7A093F7FCDBB}"/>
    <hyperlink ref="J16" r:id="rId79" display="fdsup://factset/Doc Viewer Single?float_window=true&amp;positioning_strategy=center_on_screen&amp;_doc_docfn=U2FsdGVkX1+mDpVZslX7bAmed1hCJyowq+PxIQPJCwtHPxoBoXGulZw5+6AqXuk/uP7Sie1SPSlhGDOcZSfCl4fG52UAl2A3dWrphznI3GQ=&amp;_app_id=central_doc_viewer&amp;center_on_screen=true&amp;width=950&amp;height=800&amp;_dd2=%26f%3Dsld%26c%3Dtrue%26os%3D125192%26oe%3D125198" xr:uid="{2BB2B10B-D254-4381-B603-75CB5871E4FF}"/>
    <hyperlink ref="K16" r:id="rId80" display="fdsup://factset/Doc Viewer Single?float_window=true&amp;positioning_strategy=center_on_screen&amp;_doc_docfn=U2FsdGVkX18ZfhCbj2VMO6qrlPQsuww2pTcbCWgdMNpOZOKCenIwiuzTiRYG7N6GMCFXv6w0wXhgKXUwCrVsH06QNP2bY2p8YfyB21UVL7Y=&amp;_app_id=central_doc_viewer&amp;center_on_screen=true&amp;width=950&amp;height=800&amp;_dd2=%26f%3Dsld%26c%3Dtrue%26os%3D129165%26oe%3D129171" xr:uid="{9FE4C8C8-4BD3-4C35-B858-2F70679B62BE}"/>
    <hyperlink ref="B17" r:id="rId81" display="fdsup://factset/Doc Viewer Single?float_window=true&amp;positioning_strategy=center_on_screen&amp;_doc_docfn=U2FsdGVkX1+rcrPhHYfhpnv3KhSu04CpuNd/31daz2b6Rgfb9vYYlHoyqfIKLrjl87AFoAbdE8592y7KIbjFqfmtKZp9M5GS+6MlCWO4K0E=&amp;_app_id=central_doc_viewer&amp;center_on_screen=true&amp;width=950&amp;height=800&amp;_dd2=%26f%3Dsld%26c%3Dtrue%26os%3D58612%26oe%3D58618" xr:uid="{72552E8F-C617-491C-BE36-72FC8F809FA5}"/>
    <hyperlink ref="C17" r:id="rId82" display="fdsup://factset/Doc Viewer Single?float_window=true&amp;positioning_strategy=center_on_screen&amp;_doc_docfn=U2FsdGVkX1/ThEEftHgqsoh7vKMs8s5VGqYQR8p5XH3rOEmNjWT7dr4Ms3J7XJ19Did9iq+9W765Eip7dbnjDL+PvhNyUT6o8E2j8LhJFHI=&amp;_app_id=central_doc_viewer&amp;center_on_screen=true&amp;width=950&amp;height=800&amp;_dd2=%26f%3Dsld%26c%3Dtrue%26os%3D59888%26oe%3D59894" xr:uid="{4A8A8F41-4D4E-48BE-9742-91F0617311EE}"/>
    <hyperlink ref="D17" r:id="rId83" display="fdsup://factset/Doc Viewer Single?float_window=true&amp;positioning_strategy=center_on_screen&amp;_doc_docfn=U2FsdGVkX1/G7redKz0A9ZWc0O/AkqI0vEm5p4t9OVlniL/14oUXWdA9OrnpoO8zt7BWAnXay4X7Crjaiw6jRVYGWr0wNLaf/TMszRYRfrk=&amp;_app_id=central_doc_viewer&amp;center_on_screen=true&amp;width=950&amp;height=800&amp;_dd2=%26f%3Dsld%26c%3Dtrue%26os%3D56186%26oe%3D56192" xr:uid="{915B5652-BB16-4EAC-A5C8-DE2A658E1F29}"/>
    <hyperlink ref="E17" r:id="rId84" display="fdsup://factset/Doc Viewer Single?float_window=true&amp;positioning_strategy=center_on_screen&amp;_doc_docfn=U2FsdGVkX18uPIh4th/QaIxn3PP/6sQIEmzJYF3DpG9R9PVF6v6xPhEdhxH73ivZPLkl1t6/JkAM4lMXYkJwN6NqxkxdJKu7ofCvwO0xn0I=&amp;_app_id=central_doc_viewer&amp;center_on_screen=true&amp;width=950&amp;height=800&amp;_dd2=%26f%3Dsld%26c%3Dtrue%26os%3D57607%26oe%3D57613" xr:uid="{B4854EB5-3DDE-4AD6-BB6D-D41EDA4E36D3}"/>
    <hyperlink ref="F17" r:id="rId85" display="fdsup://factset/Doc Viewer Single?float_window=true&amp;positioning_strategy=center_on_screen&amp;_doc_docfn=U2FsdGVkX18iUoPYWJc+i1dtHt9pXtgNURwreXjNPYoZtO/VU7dPKeBTYPB0wGM3uNPYycyQi8LrzvffQB9Lsr9ioeo2VVtSHzb5F+6+Vpc=&amp;_app_id=central_doc_viewer&amp;center_on_screen=true&amp;width=950&amp;height=800&amp;_dd2=%26f%3Dsld%26c%3Dtrue%26os%3D121744%26oe%3D121750" xr:uid="{BBAFE67D-0BED-4BC1-A654-531E8DC7000F}"/>
    <hyperlink ref="G17" r:id="rId86" display="fdsup://factset/Doc Viewer Single?float_window=true&amp;positioning_strategy=center_on_screen&amp;_doc_docfn=U2FsdGVkX18Taoo1Ai4eu1jP77or7xXwwzXvTiIe3P4Hu9g2rA2clUE/9wS8PacdnxPNjDCTi9WprItFkPPpvNo5ImRtckyMbqV0flBKTqA=&amp;_app_id=central_doc_viewer&amp;center_on_screen=true&amp;width=950&amp;height=800&amp;_dd2=%26f%3Dsld%26c%3Dtrue%26os%3D202241%26oe%3D202247" xr:uid="{6EE430C2-DE2C-454A-898E-A600D03D011B}"/>
    <hyperlink ref="H17" r:id="rId87" display="fdsup://factset/Doc Viewer Single?float_window=true&amp;positioning_strategy=center_on_screen&amp;_doc_docfn=U2FsdGVkX1+8lgz3g4C2P9E5/PdQl9hy1znnImQ+y203VLKQp3y7UZWtir/q3wNZIH6KQNnFKiKtpJdtydonR5svv/CAsknOFrCoCk0JkTI=&amp;_app_id=central_doc_viewer&amp;center_on_screen=true&amp;width=950&amp;height=800&amp;_dd2=%26f%3Dsld%26c%3Dtrue%26os%3D136744%26oe%3D136750" xr:uid="{3C9743CF-B43A-4357-AB18-1BC30259445C}"/>
    <hyperlink ref="I17" r:id="rId88" display="fdsup://factset/Doc Viewer Single?float_window=true&amp;positioning_strategy=center_on_screen&amp;_doc_docfn=U2FsdGVkX1+WkqLtCCYC8l83FM5HItcJbKPorxldQwQ34a/lGKNvnOoeTkMFDHAJxwbMrL+Imw1VdQXpiuqjaC/nZla5ZMEbE8OyxyGqJGk=&amp;_app_id=central_doc_viewer&amp;center_on_screen=true&amp;width=950&amp;height=800&amp;_dd2=%26f%3Dsld%26c%3Dtrue%26os%3D124497%26oe%3D124503" xr:uid="{BB481696-1D25-4883-82E3-89A86E502576}"/>
    <hyperlink ref="J17" r:id="rId89" display="fdsup://factset/Doc Viewer Single?float_window=true&amp;positioning_strategy=center_on_screen&amp;_doc_docfn=U2FsdGVkX1+2nOCwVMX+n3jl7CEEm3zJ+6LYKqz+4ibP1nZQYBp2kfc8JMKcCGwD+7AbUos2x+CiOXg6bGPBAYOVGTHjmoeIwRG8S3rhf2I=&amp;_app_id=central_doc_viewer&amp;center_on_screen=true&amp;width=950&amp;height=800&amp;_dd2=%26f%3Dsld%26c%3Dtrue%26os%3D125943%26oe%3D125949" xr:uid="{19FD3491-B993-4EB0-AB40-B811F85152B0}"/>
    <hyperlink ref="K17" r:id="rId90" display="fdsup://factset/Doc Viewer Single?float_window=true&amp;positioning_strategy=center_on_screen&amp;_doc_docfn=U2FsdGVkX18ULRVt96YTUrlnmPj7s6/gH+e5UCQxkUOnTQ0nuf25mKy97sYkuwbLgnPthJF1fONMcKh3fFV/gqrbwx0gc0b6z9zePUK1tKI=&amp;_app_id=central_doc_viewer&amp;center_on_screen=true&amp;width=950&amp;height=800&amp;_dd2=%26f%3Dsld%26c%3Dtrue%26os%3D129916%26oe%3D129922" xr:uid="{50CB08BC-B582-42C2-8268-A64FD6358187}"/>
    <hyperlink ref="B18" r:id="rId91" display="fdsup://factset/Doc Viewer Single?float_window=true&amp;positioning_strategy=center_on_screen&amp;_doc_docfn=U2FsdGVkX19uS2dgdQ+VVAEradumBi0kdR2z0zpUy+4bXMePXFV+gxMqHGMhuGr5X8A5/t0GfbKXyBftPTTTEQZptWtxWaeHBcPDkVXvUgI=&amp;_app_id=central_doc_viewer&amp;center_on_screen=true&amp;width=950&amp;height=800&amp;_dd2=%26f%3Dsld%26c%3Dtrue%26os%3D59377%26oe%3D59382" xr:uid="{46C321E3-AEA3-43B3-80E6-398869D450E6}"/>
    <hyperlink ref="C18" r:id="rId92" display="fdsup://factset/Doc Viewer Single?float_window=true&amp;positioning_strategy=center_on_screen&amp;_doc_docfn=U2FsdGVkX19hHli+OyA6AKsz0uhrFSo9gWzNIFiuRjph34c2niO/vSMAzHFTaPKH3RnwYtWQ3xittaKBL976YDQwYImTdrYHRcpSvbBgp9Y=&amp;_app_id=central_doc_viewer&amp;center_on_screen=true&amp;width=950&amp;height=800&amp;_dd2=%26f%3Dsld%26c%3Dtrue%26os%3D60655%26oe%3D60660" xr:uid="{1259CFC8-B0C0-44C0-BC28-10E8BBB16484}"/>
    <hyperlink ref="D18" r:id="rId93" display="fdsup://factset/Doc Viewer Single?float_window=true&amp;positioning_strategy=center_on_screen&amp;_doc_docfn=U2FsdGVkX18IUa4Js4nMUG4TKofr43GrrZSnqa5Z5s6jYciBRTc+96yJ78EhFvUAeyeKjm52zlwq10rxtq3wDFXVIrw4qpEDGckfw6gfp9c=&amp;_app_id=central_doc_viewer&amp;center_on_screen=true&amp;width=950&amp;height=800&amp;_dd2=%26f%3Dsld%26c%3Dtrue%26os%3D56955%26oe%3D56960" xr:uid="{E507F6DD-585F-4504-9691-3847EF31B3D2}"/>
    <hyperlink ref="E18" r:id="rId94" display="fdsup://factset/Doc Viewer Single?float_window=true&amp;positioning_strategy=center_on_screen&amp;_doc_docfn=U2FsdGVkX1+KS+HvGwekm+49FBgWanceeLZ8QQTshsXhNh+4AZMNcO2EgoaFiQYuOau440SQKRYvsegUZEOhYM13nY5Eh7G51UL6ExmSCsU=&amp;_app_id=central_doc_viewer&amp;center_on_screen=true&amp;width=950&amp;height=800&amp;_dd2=%26f%3Dsld%26c%3Dtrue%26os%3D58398%26oe%3D58403" xr:uid="{56E6DE40-1928-48B8-A47B-74B91CE4437B}"/>
    <hyperlink ref="F18" r:id="rId95" display="fdsup://factset/Doc Viewer Single?float_window=true&amp;positioning_strategy=center_on_screen&amp;_doc_docfn=U2FsdGVkX1/mntIT+yzBajQDiuADz57fXi3xjVxhXPlT8UG7mxfQAHSNCT9Y9h6bGlsQtEQxMWQ4zYWstfvJW7toWJUjLnYIt5JblOmvDCE=&amp;_app_id=central_doc_viewer&amp;center_on_screen=true&amp;width=950&amp;height=800&amp;_dd2=%26f%3Dsld%26c%3Dtrue%26os%3D122479%26oe%3D122484" xr:uid="{0A03E144-1F83-4A7A-95CF-7687FA10B7E3}"/>
    <hyperlink ref="G18" r:id="rId96" display="fdsup://factset/Doc Viewer Single?float_window=true&amp;positioning_strategy=center_on_screen&amp;_doc_docfn=U2FsdGVkX18MuK/evPQoVKJWqtLqZi8ZpLA+2xshTsOIzqMiRtqRNhwnhCP/IuMy/wpobJpzDsFtQJJwF96Oam+zoaXCigFDIo/k4JrBiDI=&amp;_app_id=central_doc_viewer&amp;center_on_screen=true&amp;width=950&amp;height=800&amp;_dd2=%26f%3Dsld%26c%3Dtrue%26os%3D202976%26oe%3D202981" xr:uid="{37C4E261-4E89-4631-808E-0513E9F1081D}"/>
    <hyperlink ref="H18" r:id="rId97" display="fdsup://factset/Doc Viewer Single?float_window=true&amp;positioning_strategy=center_on_screen&amp;_doc_docfn=U2FsdGVkX1+xiT2Jp/uX3fQz9GIL7+fmZ3K3pLaPi3lGXUrVBVQsPjbrUQ0+h1/xMzJl+xXYqMoqQRrtanBhPDK3Nr22Wm3N4rx1+IadpIg=&amp;_app_id=central_doc_viewer&amp;center_on_screen=true&amp;width=950&amp;height=800&amp;_dd2=%26f%3Dsld%26c%3Dtrue%26os%3D137479%26oe%3D137484" xr:uid="{ABDB4A61-BFCF-4D3F-9BDF-FC657F8CCC70}"/>
    <hyperlink ref="I18" r:id="rId98" display="fdsup://factset/Doc Viewer Single?float_window=true&amp;positioning_strategy=center_on_screen&amp;_doc_docfn=U2FsdGVkX1/CNCdKW5XNVGM1uj18BZdqtW7ew3pWMqvkr/Jy76shugsmK57pAwg3rCRKxzkaNVFivT+TWctfzwkSknabAo/6cNjHrKbRpK0=&amp;_app_id=central_doc_viewer&amp;center_on_screen=true&amp;width=950&amp;height=800&amp;_dd2=%26f%3Dsld%26c%3Dtrue%26os%3D125232%26oe%3D125237" xr:uid="{092174AC-7D56-4BC6-A0FB-ADEDAB5F662C}"/>
    <hyperlink ref="J18" r:id="rId99" display="fdsup://factset/Doc Viewer Single?float_window=true&amp;positioning_strategy=center_on_screen&amp;_doc_docfn=U2FsdGVkX1+Z3rHDdJnlAZbU+WFHVkphZnMLr4O1R2U7BWaSEVt9Uxz5S41RAnlMgwG9v7dAVelFKPNxrpGeL5C6MMW97/kSYqTEwc6J1M4=&amp;_app_id=central_doc_viewer&amp;center_on_screen=true&amp;width=950&amp;height=800&amp;_dd2=%26f%3Dsld%26c%3Dtrue%26os%3D126678%26oe%3D126683" xr:uid="{E8F8D26B-2C83-4987-B3DA-45D7DAC434A4}"/>
    <hyperlink ref="K18" r:id="rId100" display="fdsup://factset/Doc Viewer Single?float_window=true&amp;positioning_strategy=center_on_screen&amp;_doc_docfn=U2FsdGVkX1+xlOowpbMRd/ZUZ++r2/qumlAftlUOwfPRLfwSp4iC+FkTu4oeuVNlvKTHm1roIH4TFUlFaaHkEg6L/DP+/ixc7yYxiH54m1Q=&amp;_app_id=central_doc_viewer&amp;center_on_screen=true&amp;width=950&amp;height=800&amp;_dd2=%26f%3Dsld%26c%3Dtrue%26os%3D130651%26oe%3D130656" xr:uid="{C063950D-3A0A-4822-9813-9CD6760C87DD}"/>
    <hyperlink ref="B19" r:id="rId101" display="fdsup://factset/Doc Viewer Single?float_window=true&amp;positioning_strategy=center_on_screen&amp;_doc_docfn=U2FsdGVkX19aow7gThu8ejMaFuno8OcTVL3JnHncnuJ4zAKKhqnzgzSI7gGdUwUY+5taOyhzvtGbLaTN+06zKTBFsRaaDYKQ3b28x1SyI/g=&amp;_app_id=central_doc_viewer&amp;center_on_screen=true&amp;width=950&amp;height=800&amp;_dd2=%26f%3Dsld%26c%3Dtrue%26os%3D60914%26oe%3D60920" xr:uid="{F2454197-39A7-44D3-8DD7-FB1835CD8A44}"/>
    <hyperlink ref="C19" r:id="rId102" display="fdsup://factset/Doc Viewer Single?float_window=true&amp;positioning_strategy=center_on_screen&amp;_doc_docfn=U2FsdGVkX1+gdQh/mevz7pZGPEzMEkBm/QNIwXO0yKbisvoxI5zW0KTZqp5DFMb9AWnx62HECyUy+4hoNZtnZh5lOmBLhOnZU87VaPFy9EA=&amp;_app_id=central_doc_viewer&amp;center_on_screen=true&amp;width=950&amp;height=800&amp;_dd2=%26f%3Dsld%26c%3Dtrue%26os%3D62192%26oe%3D62198" xr:uid="{D4AC359A-2CF0-4462-BBA0-22558FB74C32}"/>
    <hyperlink ref="D19" r:id="rId103" display="fdsup://factset/Doc Viewer Single?float_window=true&amp;positioning_strategy=center_on_screen&amp;_doc_docfn=U2FsdGVkX1+b8XqlsqOU9m5gve3LydLWq35qs+vaNibzql8vVfL5ACEMF0RU64a9d8I6IPcW6mf3OnkZK9BtfjUVNzcInEqUmrO8evMBk3U=&amp;_app_id=central_doc_viewer&amp;center_on_screen=true&amp;width=950&amp;height=800&amp;_dd2=%26f%3Dsld%26c%3Dtrue%26os%3D58492%26oe%3D58498" xr:uid="{10E1162E-47FE-4A90-A2BB-32288C97EAA1}"/>
    <hyperlink ref="E19" r:id="rId104" display="fdsup://factset/Doc Viewer Single?float_window=true&amp;positioning_strategy=center_on_screen&amp;_doc_docfn=U2FsdGVkX1/ywvvV1GiSXsjZM+32qKQm82/zh9AHpQ1XQpOVyRMltklhYIp40st0wpnuQmSmeUR+GZWVY7Hm76TiStVlrFa8l3bBUhiONZw=&amp;_app_id=central_doc_viewer&amp;center_on_screen=true&amp;width=950&amp;height=800&amp;_dd2=%26f%3Dsld%26c%3Dtrue%26os%3D59935%26oe%3D59941" xr:uid="{DBFCAAEE-5F54-4AE2-AD73-33EE494229A0}"/>
    <hyperlink ref="F19" r:id="rId105" display="fdsup://factset/Doc Viewer Single?float_window=true&amp;positioning_strategy=center_on_screen&amp;_doc_docfn=U2FsdGVkX1/gwfP4K0F+do0WuXs7mmqHowZUBFr6wk8kIOAzB3hSd7sHKuCxvuPa3E0wSlU3P4W5ICe6Rx2uDTGPgZXBfFVl9yLXEEUnT6E=&amp;_app_id=central_doc_viewer&amp;center_on_screen=true&amp;width=950&amp;height=800&amp;_dd2=%26f%3Dsld%26c%3Dtrue%26os%3D123904%26oe%3D123910" xr:uid="{5C17AB16-CB5E-4361-A63C-13D7F8DA7764}"/>
    <hyperlink ref="G19" r:id="rId106" display="fdsup://factset/Doc Viewer Single?float_window=true&amp;positioning_strategy=center_on_screen&amp;_doc_docfn=U2FsdGVkX1+MuAA51adaRjhAmYwS1BtoD8LWbhEaBVPSLrSmKXLoLFXgYmaYGfTtkKMGIHChDbiW28LY4qToa/LOb9qx3T53F2GACoTN2hM=&amp;_app_id=central_doc_viewer&amp;center_on_screen=true&amp;width=950&amp;height=800&amp;_dd2=%26f%3Dsld%26c%3Dtrue%26os%3D204401%26oe%3D204407" xr:uid="{E4DBB221-103C-4E3D-AF2D-0D70584FE9B3}"/>
    <hyperlink ref="H19" r:id="rId107" display="fdsup://factset/Doc Viewer Single?float_window=true&amp;positioning_strategy=center_on_screen&amp;_doc_docfn=U2FsdGVkX1+/7mJTt9lx/onrwsHRU6WXrQGKwmKT/t3HuZ0TAbgk2DDCssHncW3xanDRRXE56eMrsak4+lFiLHTwjXmTuVzUVcptUTsfiWk=&amp;_app_id=central_doc_viewer&amp;center_on_screen=true&amp;width=950&amp;height=800&amp;_dd2=%26f%3Dsld%26c%3Dtrue%26os%3D138904%26oe%3D138910" xr:uid="{79B66054-597F-440D-9C36-5DC4F6350687}"/>
    <hyperlink ref="I19" r:id="rId108" display="fdsup://factset/Doc Viewer Single?float_window=true&amp;positioning_strategy=center_on_screen&amp;_doc_docfn=U2FsdGVkX1/Pqes/63tmHnMhOEGatFWgy3e8KEe7+fMKve3O2XQuCzw1+vdbpAdjkGSfSdJiVNYxLETbbgvFob/3GrQtEzwEnQAmq9B+dH8=&amp;_app_id=central_doc_viewer&amp;center_on_screen=true&amp;width=950&amp;height=800&amp;_dd2=%26f%3Dsld%26c%3Dtrue%26os%3D126657%26oe%3D126663" xr:uid="{4EB06F28-190A-47D7-A3D6-6B2679C810F6}"/>
    <hyperlink ref="J19" r:id="rId109" display="fdsup://factset/Doc Viewer Single?float_window=true&amp;positioning_strategy=center_on_screen&amp;_doc_docfn=U2FsdGVkX1+rQljNijh/Pwz8KzVk3Ex2u3HnM1uoEmC7sMBnx+8gSPiC7209qBEVYNFq7+juRoE5LXWjeVRLZAMn/UWB6SJTJ0JnZCtC5hU=&amp;_app_id=central_doc_viewer&amp;center_on_screen=true&amp;width=950&amp;height=800&amp;_dd2=%26f%3Dsld%26c%3Dtrue%26os%3D128103%26oe%3D128109" xr:uid="{6084FAAC-F55A-4FA3-864B-7D624697041F}"/>
    <hyperlink ref="K19" r:id="rId110" display="fdsup://factset/Doc Viewer Single?float_window=true&amp;positioning_strategy=center_on_screen&amp;_doc_docfn=U2FsdGVkX195qO1iUQTgnqQNmJksfPazgGeOd8/xqMSuLj1kdvKbPpL6vSAnSYnuxrsom4JM+vmWsOALQmtGhGD3hdCxkahKl3nyvkKCN+U=&amp;_app_id=central_doc_viewer&amp;center_on_screen=true&amp;width=950&amp;height=800&amp;_dd2=%26f%3Dsld%26c%3Dtrue%26os%3D132076%26oe%3D132082" xr:uid="{FEC76C5A-C73B-41F5-BDAF-BA696DBBA5B7}"/>
    <hyperlink ref="B20" r:id="rId111" display="fdsup://factset/Doc Viewer Single?float_window=true&amp;positioning_strategy=center_on_screen&amp;_doc_docfn=U2FsdGVkX1+q6LibV4PAivf8OU0UZ53Lp7RDEhbxhQYqnSZ7FGmS6zJGp0IKEyK2isX+jFIGGcVz0jdXnI733zsp8uyl/Fk7oyFjuqjtbrc=&amp;_app_id=central_doc_viewer&amp;center_on_screen=true&amp;width=950&amp;height=800&amp;_dd2=%26f%3Dsld%26c%3Dtrue%26os%3D61663%26oe%3D61668" xr:uid="{468E4188-DA8F-4D2C-8D95-A89243624751}"/>
    <hyperlink ref="C20" r:id="rId112" display="fdsup://factset/Doc Viewer Single?float_window=true&amp;positioning_strategy=center_on_screen&amp;_doc_docfn=U2FsdGVkX1+gYBwoWNnr17VJmqpu3+SnDModiB6+yn3GJ0As1GpQf8WZHFN+x248FnYS37LdwXOR1HngSW8minOaqa6PnmHLuF2WYTukC9E=&amp;_app_id=central_doc_viewer&amp;center_on_screen=true&amp;width=950&amp;height=800&amp;_dd2=%26f%3Dsld%26c%3Dtrue%26os%3D62944%26oe%3D62951" xr:uid="{89F2A52F-392D-481F-8C89-A63CC511A3DB}"/>
    <hyperlink ref="D20" r:id="rId113" display="fdsup://factset/Doc Viewer Single?float_window=true&amp;positioning_strategy=center_on_screen&amp;_doc_docfn=U2FsdGVkX1+O4ElbjEwc5jvZdXUAZ3dX/QB0TRsc8WjZHzi4inC4wppDWKhboJBIixiSIbdJOsuANHI3oxwdCeXlWO7IUP1FKL11l5vnILU=&amp;_app_id=central_doc_viewer&amp;center_on_screen=true&amp;width=950&amp;height=800&amp;_dd2=%26f%3Dsld%26c%3Dtrue%26os%3D59244%26oe%3D59251" xr:uid="{1230732A-8C37-4745-BF72-DE01EE9DA72F}"/>
    <hyperlink ref="E20" r:id="rId114" display="fdsup://factset/Doc Viewer Single?float_window=true&amp;positioning_strategy=center_on_screen&amp;_doc_docfn=U2FsdGVkX1881dhOy3PA6KXTACSLVunQrsXHpzOKGpAYuKWwnjIPWck9b+RBdzPjecODxkUYTK2wo5tpbJukaOMWKnhgBGAp1e5TTVfPkrA=&amp;_app_id=central_doc_viewer&amp;center_on_screen=true&amp;width=950&amp;height=800&amp;_dd2=%26f%3Dsld%26c%3Dtrue%26os%3D60687%26oe%3D60694" xr:uid="{A0B98067-4455-4411-B365-4DDF4AEF8248}"/>
    <hyperlink ref="F20" r:id="rId115" display="fdsup://factset/Doc Viewer Single?float_window=true&amp;positioning_strategy=center_on_screen&amp;_doc_docfn=U2FsdGVkX1/DD5ZQEfB0CPGVwNJFhj8gr5vduZ70XfMjJMYGAXi57GjWE0YT9afZAgwP/w7pAk7LLsaHFFxW3MTbRRPPbThhxY2UG7S/j8I=&amp;_app_id=central_doc_viewer&amp;center_on_screen=true&amp;width=950&amp;height=800&amp;_dd2=%26f%3Dsld%26c%3Dtrue%26os%3D124600%26oe%3D124607" xr:uid="{591D0746-954F-4591-8CFD-2A1E5341CBD0}"/>
    <hyperlink ref="G20" r:id="rId116" display="fdsup://factset/Doc Viewer Single?float_window=true&amp;positioning_strategy=center_on_screen&amp;_doc_docfn=U2FsdGVkX19mLgZLeXddBRc9scXUK7jQTAd1SV6oPZwVf24VOAvuTHyaqXmqy/H9ZeBMLAO9vp0eIK5CfIBDyhZDMis+oCpMiU4NcYavqQE=&amp;_app_id=central_doc_viewer&amp;center_on_screen=true&amp;width=950&amp;height=800&amp;_dd2=%26f%3Dsld%26c%3Dtrue%26os%3D205097%26oe%3D205104" xr:uid="{7737CA8E-AE61-4FE7-A4C8-CF9F2B7E8961}"/>
    <hyperlink ref="H20" r:id="rId117" display="fdsup://factset/Doc Viewer Single?float_window=true&amp;positioning_strategy=center_on_screen&amp;_doc_docfn=U2FsdGVkX187wDSXUKDo7IoZSAf1+WLfNwnFH5oqEz9mH8MX7aNJxV14A/LzFtVI6YFz78D/zrT+kvO3TYOFEqPXGIHdmfT1qpv4nMzoXsc=&amp;_app_id=central_doc_viewer&amp;center_on_screen=true&amp;width=950&amp;height=800&amp;_dd2=%26f%3Dsld%26c%3Dtrue%26os%3D139600%26oe%3D139607" xr:uid="{4FEFD2EC-A7F6-45BB-9362-228D99AE4A9D}"/>
    <hyperlink ref="I20" r:id="rId118" display="fdsup://factset/Doc Viewer Single?float_window=true&amp;positioning_strategy=center_on_screen&amp;_doc_docfn=U2FsdGVkX18ap8fVzU8aBstyJ2hdYiuJZ82sPusI58HorMhqQnmvAEqT1PY5mg15CI+V9QZjmABnvjIg/Bafyongao0Ciq4rZrCzbSn//1k=&amp;_app_id=central_doc_viewer&amp;center_on_screen=true&amp;width=950&amp;height=800&amp;_dd2=%26f%3Dsld%26c%3Dtrue%26os%3D127353%26oe%3D127360" xr:uid="{D8662EBB-0C55-4E5F-B687-70FFA2F88A75}"/>
    <hyperlink ref="J20" r:id="rId119" display="fdsup://factset/Doc Viewer Single?float_window=true&amp;positioning_strategy=center_on_screen&amp;_doc_docfn=U2FsdGVkX1+sLRa1KWKXzh+G/dNJxGo2VG8GqSchSLDtWRnkl2Rp6aeyU2L2MwGwkKpHQ0EKnkOBPfb3NkBe19C7wLGYvlNReTeNlJmrrUI=&amp;_app_id=central_doc_viewer&amp;center_on_screen=true&amp;width=950&amp;height=800&amp;_dd2=%26f%3Dsld%26c%3Dtrue%26os%3D128799%26oe%3D128806" xr:uid="{F6B89068-2FEF-4CD8-8D79-A44A513353FC}"/>
    <hyperlink ref="K20" r:id="rId120" display="fdsup://factset/Doc Viewer Single?float_window=true&amp;positioning_strategy=center_on_screen&amp;_doc_docfn=U2FsdGVkX1/+dT+OZTI0qEgNeMzTsq1Mw6H46QqCHk9tY6QI0LSQ4OZJMxaOvJ6fy5hnb3XdEz0K/kEd0cJnSqswAj8j/5DgMdSjq7nkuiY=&amp;_app_id=central_doc_viewer&amp;center_on_screen=true&amp;width=950&amp;height=800&amp;_dd2=%26f%3Dsld%26c%3Dtrue%26os%3D132772%26oe%3D132779" xr:uid="{6A7D4453-C84C-4CDB-91AE-FABDF05C95F6}"/>
    <hyperlink ref="K21" r:id="rId121" display="fdsup://factset/Doc Viewer Single?float_window=true&amp;positioning_strategy=center_on_screen&amp;_doc_docfn=U2FsdGVkX18to5Tmng2uiKkAdCU6Xum05VlTX1ismDeBoNQqiKL1ONNpplKvUoEA0OMsqMHKYa8Dn/U+QcoiRVKe6+Vqqh3S58bcqxQZsxw=&amp;_app_id=central_doc_viewer&amp;center_on_screen=true&amp;width=950&amp;height=800&amp;_dd2=%26f%3Dsld%26c%3Dtrue%26os%3D133537%26oe%3D133544" xr:uid="{E2839BA1-2444-4B3D-8A98-3DD0D5176440}"/>
    <hyperlink ref="B22" r:id="rId122" display="fdsup://factset/Doc Viewer Single?float_window=true&amp;positioning_strategy=center_on_screen&amp;_doc_docfn=U2FsdGVkX18dyw1AfahKuourJB960tnkgL06P40utXaEPiZdMkFgMGfKVXGaZm7QUPfk9CljDEQBm6FzhP2g2UtZOf+nK9QChT+8eC/oyfU=&amp;_app_id=central_doc_viewer&amp;center_on_screen=true&amp;width=950&amp;height=800&amp;_dd2=%26f%3Dsld%26c%3Dtrue%26os%3D62506%26oe%3D62512" xr:uid="{B3A55B4D-5444-4D4A-B7BB-086E06F9FBD8}"/>
    <hyperlink ref="C22" r:id="rId123" display="fdsup://factset/Doc Viewer Single?float_window=true&amp;positioning_strategy=center_on_screen&amp;_doc_docfn=U2FsdGVkX1+CtgjVuFQU3MPs48Ffy5BeNkWt5dPx50MTKx2gMp69WZGYArZInCcMftHZkTOmm3lzwXwCHaFGU6gdcUjvERsKQtD/faMlF2c=&amp;_app_id=central_doc_viewer&amp;center_on_screen=true&amp;width=950&amp;height=800&amp;_dd2=%26f%3Dsld%26c%3Dtrue%26os%3D63789%26oe%3D63795" xr:uid="{1C3C9C70-F8DB-4C8D-8447-E5B6DEC0ED5A}"/>
    <hyperlink ref="D22" r:id="rId124" display="fdsup://factset/Doc Viewer Single?float_window=true&amp;positioning_strategy=center_on_screen&amp;_doc_docfn=U2FsdGVkX198xrpxAfW0JCBJkA5KDJOerpfpk54lUmeaUqAXOA/0olZke8yph9nfvIGnOtBh3lRt8xmBPyS9UTAWe7CjM6APJdm7I5oZWDg=&amp;_app_id=central_doc_viewer&amp;center_on_screen=true&amp;width=950&amp;height=800&amp;_dd2=%26f%3Dsld%26c%3Dtrue%26os%3D60092%26oe%3D60098" xr:uid="{4F1A2848-4CB6-4532-9D7D-0109D6E457D0}"/>
    <hyperlink ref="E22" r:id="rId125" display="fdsup://factset/Doc Viewer Single?float_window=true&amp;positioning_strategy=center_on_screen&amp;_doc_docfn=U2FsdGVkX1/vWcxRAoSL6g7LNgDxYWyxEqBIke2PLYOGHWw1ePVlmuM3uO8iedPz6xBAvXrBb6yQZ2Th3VBk8WJY/V5l6fdzCu+p2KgiZv4=&amp;_app_id=central_doc_viewer&amp;center_on_screen=true&amp;width=950&amp;height=800&amp;_dd2=%26f%3Dsld%26c%3Dtrue%26os%3D61538%26oe%3D61544" xr:uid="{3D576455-4EA3-4FA0-A485-5C751676F051}"/>
    <hyperlink ref="F22" r:id="rId126" display="fdsup://factset/Doc Viewer Single?float_window=true&amp;positioning_strategy=center_on_screen&amp;_doc_docfn=U2FsdGVkX1+AMPreRzSutj+MtcHNRxLbVnSyPAL5p8kUy3SrO2WplQNuuDz4cAPhpNRzXKwDLwk+jptpBpsG8nQehSlz7srDYiLqzciN/vw=&amp;_app_id=central_doc_viewer&amp;center_on_screen=true&amp;width=950&amp;height=800&amp;_dd2=%26f%3Dsld%26c%3Dtrue%26os%3D125395%26oe%3D125401" xr:uid="{836ED9A1-5E62-409D-AC92-205653E34CBE}"/>
    <hyperlink ref="G22" r:id="rId127" display="fdsup://factset/Doc Viewer Single?float_window=true&amp;positioning_strategy=center_on_screen&amp;_doc_docfn=U2FsdGVkX18+2svemO+B1w5603/mK2WOPyubB78kHUQLzE5WM4cWa0PtiOy1MPn7UgmC21cWN/DSu4p+SdnKyhy2ReIxj8rIvKIwbc/qGSg=&amp;_app_id=central_doc_viewer&amp;center_on_screen=true&amp;width=950&amp;height=800&amp;_dd2=%26f%3Dsld%26c%3Dtrue%26os%3D205892%26oe%3D205898" xr:uid="{7C912FD6-76B5-453A-B027-16F885B079C2}"/>
    <hyperlink ref="H22" r:id="rId128" display="fdsup://factset/Doc Viewer Single?float_window=true&amp;positioning_strategy=center_on_screen&amp;_doc_docfn=U2FsdGVkX18MbV+/O36FOEOlYCpFkkV+pXQKpnpuhNdAPM3NCz1I4F4pTHkXO4fqvTlQd++AlR6qnA8Tr2wdoiHmtue6q+MifFXoUraMC6k=&amp;_app_id=central_doc_viewer&amp;center_on_screen=true&amp;width=950&amp;height=800&amp;_dd2=%26f%3Dsld%26c%3Dtrue%26os%3D140379%26oe%3D140385" xr:uid="{F62BFDD1-0BE0-49B9-B7C3-CC7931EE111F}"/>
    <hyperlink ref="I22" r:id="rId129" display="fdsup://factset/Doc Viewer Single?float_window=true&amp;positioning_strategy=center_on_screen&amp;_doc_docfn=U2FsdGVkX186K9vDtMBsl5axEorllV1d0egD0qvvj3zp3+VHtl2wcA+8GwTWJibgYOvxgl2Pipm6i/+z97nbpS7BMIg9ZsocogtlbMFfjyk=&amp;_app_id=central_doc_viewer&amp;center_on_screen=true&amp;width=950&amp;height=800&amp;_dd2=%26f%3Dsld%26c%3Dtrue%26os%3D128132%26oe%3D128138" xr:uid="{57B7E6B9-72A9-4655-9448-4287675D05A4}"/>
    <hyperlink ref="J22" r:id="rId130" display="fdsup://factset/Doc Viewer Single?float_window=true&amp;positioning_strategy=center_on_screen&amp;_doc_docfn=U2FsdGVkX18FMpXwP89UOiBgUzYQTgf7bNpeyJ9TbU+4vzkQ53yCWgiCBSnN3/vg6pcqFVJgp2zhPM2QSFRebfKYKnQoRB4RLShod5RlPbs=&amp;_app_id=central_doc_viewer&amp;center_on_screen=true&amp;width=950&amp;height=800&amp;_dd2=%26f%3Dsld%26c%3Dtrue%26os%3D129578%26oe%3D129584" xr:uid="{ED72628D-CAB1-4383-8640-0DBEB1976FDD}"/>
    <hyperlink ref="K22" r:id="rId131" display="fdsup://factset/Doc Viewer Single?float_window=true&amp;positioning_strategy=center_on_screen&amp;_doc_docfn=U2FsdGVkX1+gVcETpwNP20ierID0d714hD/+Y9hcT8Mtc+rGWAVlllcRYGzLVVUU92QTGvgsdHvKPcQ9FzHDuoIo41GDh496cbDBgMbb1zc=&amp;_app_id=central_doc_viewer&amp;center_on_screen=true&amp;width=950&amp;height=800&amp;_dd2=%26f%3Dsld%26c%3Dtrue%26os%3D134344%26oe%3D134350" xr:uid="{E916BFD3-7350-4944-9FAD-42BB5188C7AA}"/>
    <hyperlink ref="B23" r:id="rId132" display="fdsup://factset/Doc Viewer Single?float_window=true&amp;positioning_strategy=center_on_screen&amp;_doc_docfn=U2FsdGVkX1+J6M/kl9RVWGjFv3h3n52i/Fv6ZsTffCqS1rG11+NcJW1w7csCEqsjpl9mi7m8gn87hPzMLbfLnrz/pVxzVsju7XuKlimPw7I=&amp;_app_id=central_doc_viewer&amp;center_on_screen=true&amp;width=950&amp;height=800&amp;_dd2=%26f%3Dsld%26c%3Dtrue%26os%3D63448%26oe%3D63455" xr:uid="{10295E1D-EC0F-4910-B682-592AEDCC144A}"/>
    <hyperlink ref="C23" r:id="rId133" display="fdsup://factset/Doc Viewer Single?float_window=true&amp;positioning_strategy=center_on_screen&amp;_doc_docfn=U2FsdGVkX18LJvBW/Ft849+j/A96u742VzCRJ0pBjkBoUMQM7Z82NR8tBoxYVmvDxgiyr080gH67UoV4dbOyOfieJXkb0lvgk6aV/mdHBR8=&amp;_app_id=central_doc_viewer&amp;center_on_screen=true&amp;width=950&amp;height=800&amp;_dd2=%26f%3Dsld%26c%3Dtrue%26os%3D64733%26oe%3D64740" xr:uid="{3830ED04-F8FA-4B50-A542-84484E0BCDE2}"/>
    <hyperlink ref="D23" r:id="rId134" display="fdsup://factset/Doc Viewer Single?float_window=true&amp;positioning_strategy=center_on_screen&amp;_doc_docfn=U2FsdGVkX1+cgPK2xg4Z0vX9Ki+Or5JIOgkw3Ohcv/ZM4XCHFkc8KEIT8TrsgLiPJ4TWm5W0QHX5kpaUGA1ckWOmpS2vcUo6cCRz2+9nQDU=&amp;_app_id=central_doc_viewer&amp;center_on_screen=true&amp;width=950&amp;height=800&amp;_dd2=%26f%3Dsld%26c%3Dtrue%26os%3D61038%26oe%3D61045" xr:uid="{A4D8F9B2-CB4D-4E67-B10E-A57635995B70}"/>
    <hyperlink ref="E23" r:id="rId135" display="fdsup://factset/Doc Viewer Single?float_window=true&amp;positioning_strategy=center_on_screen&amp;_doc_docfn=U2FsdGVkX18gKFh+wp2xxxFcPaQp7l3e/JoUf+oE7U1pSPHQqQEAjTgzgwxpOozHruvXDmSEj/dkhfwcFbvp88ly4kz+zKH6KLGr4+9ZfAM=&amp;_app_id=central_doc_viewer&amp;center_on_screen=true&amp;width=950&amp;height=800&amp;_dd2=%26f%3Dsld%26c%3Dtrue%26os%3D62484%26oe%3D62491" xr:uid="{05F77A07-E6B6-4256-8F52-537C5679983A}"/>
    <hyperlink ref="F23" r:id="rId136" display="fdsup://factset/Doc Viewer Single?float_window=true&amp;positioning_strategy=center_on_screen&amp;_doc_docfn=U2FsdGVkX1/eKbDpu34HrTqiKk9oEfBXijXRA1YC7z2fv6DEuPxq+DKfKE+qgVlLnhyvy0pe/YjwHJn7SW1EATJ2AqHXv5X8J/DrhYkgOtY=&amp;_app_id=central_doc_viewer&amp;center_on_screen=true&amp;width=950&amp;height=800&amp;_dd2=%26f%3Dsld%26c%3Dtrue%26os%3D126285%26oe%3D126292" xr:uid="{AE38050C-3428-42D0-AFDE-649EB60F4D92}"/>
    <hyperlink ref="G23" r:id="rId137" display="fdsup://factset/Doc Viewer Single?float_window=true&amp;positioning_strategy=center_on_screen&amp;_doc_docfn=U2FsdGVkX19/VO+MK8eqQ/mfj13Ttd9ifANwwH1ne4KaLz/Mp7HDR8RVldxEi9W86CnAncZ52lbdVq3dRE1i+0IxhLPL7TpOuD5ciRW3Dh0=&amp;_app_id=central_doc_viewer&amp;center_on_screen=true&amp;width=950&amp;height=800&amp;_dd2=%26f%3Dsld%26c%3Dtrue%26os%3D206782%26oe%3D206789" xr:uid="{683B78CC-06E9-4532-B324-C74A9D06971C}"/>
    <hyperlink ref="H23" r:id="rId138" display="fdsup://factset/Doc Viewer Single?float_window=true&amp;positioning_strategy=center_on_screen&amp;_doc_docfn=U2FsdGVkX1+p770KmMwEmNd9VrQ3decaZApzlRgDUB9t46eFrKME+DBA2hfIeDL87i8UHF+goRfXMtFY7SaEj6yUn6CFe+bJAVkTEAlNnkQ=&amp;_app_id=central_doc_viewer&amp;center_on_screen=true&amp;width=950&amp;height=800&amp;_dd2=%26f%3Dsld%26c%3Dtrue%26os%3D141237%26oe%3D141244" xr:uid="{457DF167-104A-4741-A3D8-E4DBBFAFCEDD}"/>
    <hyperlink ref="I23" r:id="rId139" display="fdsup://factset/Doc Viewer Single?float_window=true&amp;positioning_strategy=center_on_screen&amp;_doc_docfn=U2FsdGVkX1+eU9nLKN5XlzuHCMj1Y/eHB/sw0iU/Vjnq9ACfIPeeDQzeMI3Nutpnb6EXh+o1/YOrGTjUsqDS4e6ssFO5z3DV7RcUygU0vZ0=&amp;_app_id=central_doc_viewer&amp;center_on_screen=true&amp;width=950&amp;height=800&amp;_dd2=%26f%3Dsld%26c%3Dtrue%26os%3D128990%26oe%3D128997" xr:uid="{51C5D6D5-783E-45BA-BB36-DC136E605C5C}"/>
    <hyperlink ref="J23" r:id="rId140" display="fdsup://factset/Doc Viewer Single?float_window=true&amp;positioning_strategy=center_on_screen&amp;_doc_docfn=U2FsdGVkX1+SpBbguQclZ7atTHiCaEziSPOXYiKIz+23owr9aX/4vohQp1413pEztqduXX6qlIYk0KJ2JR8u1XeuWUBW43yH7Ez3l817rjE=&amp;_app_id=central_doc_viewer&amp;center_on_screen=true&amp;width=950&amp;height=800&amp;_dd2=%26f%3Dsld%26c%3Dtrue%26os%3D130436%26oe%3D130443" xr:uid="{8E80B08C-82C2-4F29-A3A2-AC6ECAD995FC}"/>
    <hyperlink ref="K23" r:id="rId141" display="fdsup://factset/Doc Viewer Single?float_window=true&amp;positioning_strategy=center_on_screen&amp;_doc_docfn=U2FsdGVkX1+8U5Rm4jHMfcEabyTWrLU4fySmUOOfyo5DjCKOD6pDeVIkxPExJlyWaGdYIBUBDcoDH//2hq1hetEJPitYjXpTA08ufgHUvKY=&amp;_app_id=central_doc_viewer&amp;center_on_screen=true&amp;width=950&amp;height=800&amp;_dd2=%26f%3Dsld%26c%3Dtrue%26os%3D135202%26oe%3D135209" xr:uid="{9018730E-EA16-4BB3-828A-D94DEDC4ADE9}"/>
    <hyperlink ref="B24" r:id="rId142" display="fdsup://factset/Doc Viewer Single?float_window=true&amp;positioning_strategy=center_on_screen&amp;_doc_docfn=U2FsdGVkX1/lYS5MTSzUFM/cv3wxwNSEdGCjkXd19CYBwwJeattv+I4A5AKEnVcejO5F/LAfUwJRpOvG8+i9Dj+NBHrTn7MviZYRTL0GCAg=&amp;_app_id=central_doc_viewer&amp;center_on_screen=true&amp;width=950&amp;height=800&amp;_dd2=%26f%3Dsld%26c%3Dtrue%26os%3D64201%26oe%3D64206" xr:uid="{9E1F9898-0783-4371-9781-1EDCB715AA54}"/>
    <hyperlink ref="C24" r:id="rId143" display="fdsup://factset/Doc Viewer Single?float_window=true&amp;positioning_strategy=center_on_screen&amp;_doc_docfn=U2FsdGVkX18AG19DG/zIOU9YY8R7qWl/vJEYP5EdkOky8i8Shw91AKig48HnD55VfuNsyOSmVOmLH/LIyQdopgUs/bvx1KS7f1H+I01/fWs=&amp;_app_id=central_doc_viewer&amp;center_on_screen=true&amp;width=950&amp;height=800&amp;_dd2=%26f%3Dsld%26c%3Dtrue%26os%3D65486%26oe%3D65491" xr:uid="{460FA13B-F515-485C-95F2-7FA94DC88F29}"/>
    <hyperlink ref="D24" r:id="rId144" display="fdsup://factset/Doc Viewer Single?float_window=true&amp;positioning_strategy=center_on_screen&amp;_doc_docfn=U2FsdGVkX1+ND4dIBOzWXsAIqz9a5K6S23pnTKndlJLY1r2TxgEAoGLJmKwgTwXO5RWcBq9VZOtBZpXJV7nsnlGNyvZZHRh9bt2CKmSmKWI=&amp;_app_id=central_doc_viewer&amp;center_on_screen=true&amp;width=950&amp;height=800&amp;_dd2=%26f%3Dsld%26c%3Dtrue%26os%3D61792%26oe%3D61798" xr:uid="{9DF618BB-687B-4C3F-ABB4-D57C90D3EE65}"/>
    <hyperlink ref="E24" r:id="rId145" display="fdsup://factset/Doc Viewer Single?float_window=true&amp;positioning_strategy=center_on_screen&amp;_doc_docfn=U2FsdGVkX18GXua3X6617cN+ArfRREKzPQYJvcS4yjcRHm421vOOkS2hTJr7bkAH/fMZezjPQKgvm0NHwROuTu6Pf0+RSUuoXB95rVBE6vU=&amp;_app_id=central_doc_viewer&amp;center_on_screen=true&amp;width=950&amp;height=800&amp;_dd2=%26f%3Dsld%26c%3Dtrue%26os%3D63238%26oe%3D63244" xr:uid="{C89B3CF6-042D-4E63-B5A6-FC18EC8F2EFF}"/>
    <hyperlink ref="F24" r:id="rId146" display="fdsup://factset/Doc Viewer Single?float_window=true&amp;positioning_strategy=center_on_screen&amp;_doc_docfn=U2FsdGVkX19/1BPpUr2RCHeqCxkNQqz3lCGZM7Hrldut1JyyNILpxINPP7LsifLOQMXGsRDjIJ6KxpaLO4xkr9+9I3zgdVtBxE4/2as46Hg=&amp;_app_id=central_doc_viewer&amp;center_on_screen=true&amp;width=950&amp;height=800&amp;_dd2=%26f%3Dsld%26c%3Dtrue%26os%3D126983%26oe%3D126989" xr:uid="{B1067141-5BDA-4C99-9D33-5D97E412564F}"/>
    <hyperlink ref="G24" r:id="rId147" display="fdsup://factset/Doc Viewer Single?float_window=true&amp;positioning_strategy=center_on_screen&amp;_doc_docfn=U2FsdGVkX195owIN//G+EJMDJBSgzy46xe+tCnYnjf+ZJTvu9D/DenZzuIHxIjZMEVcJLa9qdzZ/X0pSeMhkX1SJV9n4i4WHF5Wdb19mfRc=&amp;_app_id=central_doc_viewer&amp;center_on_screen=true&amp;width=950&amp;height=800&amp;_dd2=%26f%3Dsld%26c%3Dtrue%26os%3D207480%26oe%3D207486" xr:uid="{1A972415-ED2B-43DD-AD4D-CE0163B39F80}"/>
    <hyperlink ref="H24" r:id="rId148" display="fdsup://factset/Doc Viewer Single?float_window=true&amp;positioning_strategy=center_on_screen&amp;_doc_docfn=U2FsdGVkX19tgBCx1PiREuJ7Og8sKT41K85yG43i9VvdOuExZMAdUDCzohLMlTZFTxSWchkaw3zNwTTho+c3cGEDXZB6LtBVl7tNksn8FCs=&amp;_app_id=central_doc_viewer&amp;center_on_screen=true&amp;width=950&amp;height=800&amp;_dd2=%26f%3Dsld%26c%3Dtrue%26os%3D141935%26oe%3D141941" xr:uid="{99117E0D-F028-48AF-8F93-85625789E62A}"/>
    <hyperlink ref="I24" r:id="rId149" display="fdsup://factset/Doc Viewer Single?float_window=true&amp;positioning_strategy=center_on_screen&amp;_doc_docfn=U2FsdGVkX19eStTdvR622PxAGEp4ATh1cbyqIYEKxp1g7GVsWtZ9svi5l2g3w03okbrhF0f3jcomXp2JcKJJClaZKVoX6bN+Cu+B+55EVNw=&amp;_app_id=central_doc_viewer&amp;center_on_screen=true&amp;width=950&amp;height=800&amp;_dd2=%26f%3Dsld%26c%3Dtrue%26os%3D129688%26oe%3D129694" xr:uid="{B5179F43-DE15-4EF4-8DA7-A8E9B445354C}"/>
    <hyperlink ref="J24" r:id="rId150" display="fdsup://factset/Doc Viewer Single?float_window=true&amp;positioning_strategy=center_on_screen&amp;_doc_docfn=U2FsdGVkX18eT+aVIzRj3+xhQriIa7ptQ3fj+wRcx5FmQHGzMQmCXBUudCHVvudSWrI2HNgc3NHCDsYk8RqBc9MW6HxW6L/ZlcVj6haTOFQ=&amp;_app_id=central_doc_viewer&amp;center_on_screen=true&amp;width=950&amp;height=800&amp;_dd2=%26f%3Dsld%26c%3Dtrue%26os%3D131134%26oe%3D131140" xr:uid="{2AA94E20-7603-48FD-A895-426A7CF44868}"/>
    <hyperlink ref="K24" r:id="rId151" display="fdsup://factset/Doc Viewer Single?float_window=true&amp;positioning_strategy=center_on_screen&amp;_doc_docfn=U2FsdGVkX1+1hRsOSKX7e0knoHP2I5DCSYzPD7/YL5J+/KN6gI19AiOl3z3tnemD71YAeimw4ZGgaESVlisNZNr3DtkU12N0+Hn+fqoU36s=&amp;_app_id=central_doc_viewer&amp;center_on_screen=true&amp;width=950&amp;height=800&amp;_dd2=%26f%3Dsld%26c%3Dtrue%26os%3D135900%26oe%3D135906" xr:uid="{AEC7CDF4-9F24-4FD5-A82F-95D12BB6462D}"/>
    <hyperlink ref="B25" r:id="rId152" display="fdsup://factset/Doc Viewer Single?float_window=true&amp;positioning_strategy=center_on_screen&amp;_doc_docfn=U2FsdGVkX19Z1VGBYg0sf2H+B5bwRjQ6mHPgPedm+pr2AN7ATmw/8CO1tcb4eUA3Em6Gg9yMDMcrDOWh+V8Fyr84DozLc44e4HMrgv01lik=&amp;_app_id=central_doc_viewer&amp;center_on_screen=true&amp;width=950&amp;height=800&amp;_dd2=%26f%3Dsld%26c%3Dtrue%26os%3D64995%26oe%3D64999" xr:uid="{EA23AA7A-8C12-4A51-9699-CAF6A3BEA4F2}"/>
    <hyperlink ref="C25" r:id="rId153" display="fdsup://factset/Doc Viewer Single?float_window=true&amp;positioning_strategy=center_on_screen&amp;_doc_docfn=U2FsdGVkX18Pdzqc+A6te/v77hhcEEVcxgXVoKpZuixuZ/c4cRSg3Um4KOVNDvz9uOJlKIBZ+N1QVGdjDeLeP7vB5M9VbSeJ3GnfHpTQv+E=&amp;_app_id=central_doc_viewer&amp;center_on_screen=true&amp;width=950&amp;height=800&amp;_dd2=%26f%3Dsld%26c%3Dtrue%26os%3D66280%26oe%3D66284" xr:uid="{AB51E20D-8525-48BC-8A38-3C6B2E97B074}"/>
    <hyperlink ref="D25" r:id="rId154" display="fdsup://factset/Doc Viewer Single?float_window=true&amp;positioning_strategy=center_on_screen&amp;_doc_docfn=U2FsdGVkX1/yl1GflJs6Ex18apmqr6bkqjrt+Ajm9zhbZe3p3Qr74RnyzM9HTYuxOYj7P5Cn8DFjimWtZRmyto0/+4dEogo+dKjYR7bzR5c=&amp;_app_id=central_doc_viewer&amp;center_on_screen=true&amp;width=950&amp;height=800&amp;_dd2=%26f%3Dsld%26c%3Dtrue%26os%3D62588%26oe%3D62593" xr:uid="{6C4A15F5-F624-488E-9B64-5759F7183C28}"/>
    <hyperlink ref="E25" r:id="rId155" display="fdsup://factset/Doc Viewer Single?float_window=true&amp;positioning_strategy=center_on_screen&amp;_doc_docfn=U2FsdGVkX18+fViXcc87tuYRG0ch5bXgs8CIcMBDSvsEArzqRycK3WxvfynYaWwjOb0LhZE8q08TN1ZME2ekyM17smneb1Hmeoxzt9DjQbo=&amp;_app_id=central_doc_viewer&amp;center_on_screen=true&amp;width=950&amp;height=800&amp;_dd2=%26f%3Dsld%26c%3Dtrue%26os%3D64036%26oe%3D64041" xr:uid="{A7E64702-8801-4702-BE3A-C2AAD18A39B8}"/>
    <hyperlink ref="F25" r:id="rId156" display="fdsup://factset/Doc Viewer Single?float_window=true&amp;positioning_strategy=center_on_screen&amp;_doc_docfn=U2FsdGVkX18iQeQvu2JeKSgWWI4ln+F6yOgmS/EJ815sJKOla5VrUcJd4COdPnycVLRrPNvjOS+mFtMTT4uDkS+YoVLe9g6lzNsRvZWrIIM=&amp;_app_id=central_doc_viewer&amp;center_on_screen=true&amp;width=950&amp;height=800&amp;_dd2=%26f%3Dsld%26c%3Dtrue%26os%3D127727%26oe%3D127732" xr:uid="{3F89B44C-B93C-4F7A-8D9E-EB576F577ACF}"/>
    <hyperlink ref="G25" r:id="rId157" display="fdsup://factset/Doc Viewer Single?float_window=true&amp;positioning_strategy=center_on_screen&amp;_doc_docfn=U2FsdGVkX18vWu6Q+UQKjWrRgavtaTXaXIaeyvGLlKW70Fj9EpJT/THlRqu8y7AiR2x8dYPU+O4VO/W5DDb3h3J+wQimf/sFIhJ70ZrBrlQ=&amp;_app_id=central_doc_viewer&amp;center_on_screen=true&amp;width=950&amp;height=800&amp;_dd2=%26f%3Dsld%26c%3Dtrue%26os%3D208224%26oe%3D208229" xr:uid="{B3288C56-D3AC-4DF6-B832-CE2E191C6366}"/>
    <hyperlink ref="H25" r:id="rId158" display="fdsup://factset/Doc Viewer Single?float_window=true&amp;positioning_strategy=center_on_screen&amp;_doc_docfn=U2FsdGVkX1+fJzqyqgN8loAhir+U6dddqR5BgvwL+/TUqmR8uLhEPNRDfVJ8UQTAZYJfSwfZ0RcCN/I3b5+rovOrMqDT+0aB7iF+NM988YA=&amp;_app_id=central_doc_viewer&amp;center_on_screen=true&amp;width=950&amp;height=800&amp;_dd2=%26f%3Dsld%26c%3Dtrue%26os%3D142679%26oe%3D142684" xr:uid="{28C17186-C59E-47B0-9B06-5E173FB0A4EF}"/>
    <hyperlink ref="I25" r:id="rId159" display="fdsup://factset/Doc Viewer Single?float_window=true&amp;positioning_strategy=center_on_screen&amp;_doc_docfn=U2FsdGVkX1/jEMWG5YIllKAoz4UgNP8vJ/df00bgFdi9giLOYUv4BeYDjApClt/OzWQx7xP8B55tTwpOzqhOND6EsbVtEgx1MRDukGK+u4k=&amp;_app_id=central_doc_viewer&amp;center_on_screen=true&amp;width=950&amp;height=800&amp;_dd2=%26f%3Dsld%26c%3Dtrue%26os%3D130432%26oe%3D130437" xr:uid="{70E2009A-250F-42B0-9DEB-05BD11252BB1}"/>
    <hyperlink ref="J25" r:id="rId160" display="fdsup://factset/Doc Viewer Single?float_window=true&amp;positioning_strategy=center_on_screen&amp;_doc_docfn=U2FsdGVkX18hu5S3JlORekqIHMIrnU7yW9877cB8eUOTjeUmDZ6KuBfLlv3ulixOa15oWp6/ht2YEUqWNstUAddYF6NZW4GkCqs7nk6/7rk=&amp;_app_id=central_doc_viewer&amp;center_on_screen=true&amp;width=950&amp;height=800&amp;_dd2=%26f%3Dsld%26c%3Dtrue%26os%3D131878%26oe%3D131883" xr:uid="{9B9F4A55-9F37-4037-A115-EE5AF90DAE54}"/>
    <hyperlink ref="K25" r:id="rId161" display="fdsup://factset/Doc Viewer Single?float_window=true&amp;positioning_strategy=center_on_screen&amp;_doc_docfn=U2FsdGVkX19rotgyHW/N7EC+9KBWmOx2BR43mcYA7UjuDMHl8/nGNQ3mD/glmmBbqa7izCOFXT8v4MNT6wSSHxHso8E8l76uBn8U7kY6Ay0=&amp;_app_id=central_doc_viewer&amp;center_on_screen=true&amp;width=950&amp;height=800&amp;_dd2=%26f%3Dsld%26c%3Dtrue%26os%3D136644%26oe%3D136649" xr:uid="{EB50542B-0B9A-43A5-BC24-36B04EBED615}"/>
    <hyperlink ref="B26" r:id="rId162" display="fdsup://factset/Doc Viewer Single?float_window=true&amp;positioning_strategy=center_on_screen&amp;_doc_docfn=U2FsdGVkX18+VNeoKSHXrTMnqJBgi3fHKfTVJCN3ll7JexUNrEA4d/mSBv35/wdYmaKSQhQRHBvLAPpnnPGGcIgcwPSNtbR+oKUTGhw6ArI=&amp;_app_id=central_doc_viewer&amp;center_on_screen=true&amp;width=950&amp;height=800&amp;_dd2=%26f%3Dsld%26c%3Dtrue%26os%3D65837%26oe%3D65842" xr:uid="{B5D859E8-137C-48D8-9E0D-F7DAF1A95C96}"/>
    <hyperlink ref="C26" r:id="rId163" display="fdsup://factset/Doc Viewer Single?float_window=true&amp;positioning_strategy=center_on_screen&amp;_doc_docfn=U2FsdGVkX1/sghY2seTO9Fjg2Tig+nWF0PV8sNHqtUD+wrNutgFl2OOVyZIo47a8d83Le3v9US3qdgLGQxWpPD0oaw6MD7/vjXPz8N3CMtE=&amp;_app_id=central_doc_viewer&amp;center_on_screen=true&amp;width=950&amp;height=800&amp;_dd2=%26f%3Dsld%26c%3Dtrue%26os%3D67122%26oe%3D67127" xr:uid="{360042A4-EAE6-4A5F-AD07-D1C741D964FD}"/>
    <hyperlink ref="D26" r:id="rId164" display="fdsup://factset/Doc Viewer Single?float_window=true&amp;positioning_strategy=center_on_screen&amp;_doc_docfn=U2FsdGVkX189jFQDL+XuXMbAkzVPmnhsflpj/Y4P5v7WptOLbmicC6NnUfpPVRAL9F+tNh0YGiXE0NIINcMkhe9J5Gj/XKxLGfi0i94KhBk=&amp;_app_id=central_doc_viewer&amp;center_on_screen=true&amp;width=950&amp;height=800&amp;_dd2=%26f%3Dsld%26c%3Dtrue%26os%3D63442%26oe%3D63448" xr:uid="{156FD840-DFE1-4DDC-B5BA-5A1392365E48}"/>
    <hyperlink ref="E26" r:id="rId165" display="fdsup://factset/Doc Viewer Single?float_window=true&amp;positioning_strategy=center_on_screen&amp;_doc_docfn=U2FsdGVkX19pkLlzTDh4uX7ngpHSB53wEg1C8YbSiWzvCsWJ0ItewyT5BhSKimdTuQkGsAJ4PR2q71kHygrgYaQNJl78W7KySuAeIakD22Y=&amp;_app_id=central_doc_viewer&amp;center_on_screen=true&amp;width=950&amp;height=800&amp;_dd2=%26f%3Dsld%26c%3Dtrue%26os%3D64892%26oe%3D64898" xr:uid="{B1455598-8C76-4030-8577-72B0AA03397E}"/>
    <hyperlink ref="F26" r:id="rId166" display="fdsup://factset/Doc Viewer Single?float_window=true&amp;positioning_strategy=center_on_screen&amp;_doc_docfn=U2FsdGVkX19DJm/LdvRtAQDjOPuXy/i9ge4Gv7jAtJKfCeaiile1+DgfVK1WFXFyzwtL7bwu+wYa0danujdMhhHgUWyKhLCLIvzkp5zUKcg=&amp;_app_id=central_doc_viewer&amp;center_on_screen=true&amp;width=950&amp;height=800&amp;_dd2=%26f%3Dsld%26c%3Dtrue%26os%3D128529%26oe%3D128535" xr:uid="{CE469EDB-2C4A-47F3-975B-9CF7B1E5BB0B}"/>
    <hyperlink ref="G26" r:id="rId167" display="fdsup://factset/Doc Viewer Single?float_window=true&amp;positioning_strategy=center_on_screen&amp;_doc_docfn=U2FsdGVkX19ttw172YXY79bXvAMHav8jsNGdcQhtYLfHjled8Z98wtJFLn/uaJUMRvHKgeyenj6gvzjfKWP1ENKwOKDjBG7AMwbeIcc/Q4g=&amp;_app_id=central_doc_viewer&amp;center_on_screen=true&amp;width=950&amp;height=800&amp;_dd2=%26f%3Dsld%26c%3Dtrue%26os%3D209026%26oe%3D209032" xr:uid="{BE076CD4-ABD3-4B3A-BDE6-660668D10BDF}"/>
    <hyperlink ref="H26" r:id="rId168" display="fdsup://factset/Doc Viewer Single?float_window=true&amp;positioning_strategy=center_on_screen&amp;_doc_docfn=U2FsdGVkX1+yHZylJrsUZJrty5HVMvOJoEZw71Q94U8JSMyg2JKub5vWlWz0amtspkd+H2BShtevBKKb4VHAHrG88bS6KXSGEnDUuvsJh0M=&amp;_app_id=central_doc_viewer&amp;center_on_screen=true&amp;width=950&amp;height=800&amp;_dd2=%26f%3Dsld%26c%3Dtrue%26os%3D143481%26oe%3D143487" xr:uid="{0787B4B3-627F-4586-B4DD-70268528F116}"/>
    <hyperlink ref="I26" r:id="rId169" display="fdsup://factset/Doc Viewer Single?float_window=true&amp;positioning_strategy=center_on_screen&amp;_doc_docfn=U2FsdGVkX1/NVIvQYPfH0MhDMV+/BLp2pEGPorSsAEi3tFrutwyZhBsvTqU5uPyxXSOL3f7WVCBIExG/IUstdaYyxou2ep0PPBW1ETMh+Ow=&amp;_app_id=central_doc_viewer&amp;center_on_screen=true&amp;width=950&amp;height=800&amp;_dd2=%26f%3Dsld%26c%3Dtrue%26os%3D131234%26oe%3D131240" xr:uid="{39136D17-BE3A-43FB-BFC6-AAB510070EAC}"/>
    <hyperlink ref="J26" r:id="rId170" display="fdsup://factset/Doc Viewer Single?float_window=true&amp;positioning_strategy=center_on_screen&amp;_doc_docfn=U2FsdGVkX1+qC5NftTyTEWuDHdSyM49PyhNJocC1SEapqbD48rnTJgDHhv4Kzd1Xe6ow7K+mcsKH6SYNpuEtcO5bAxfM+YXkk/cIfQ9f/5Y=&amp;_app_id=central_doc_viewer&amp;center_on_screen=true&amp;width=950&amp;height=800&amp;_dd2=%26f%3Dsld%26c%3Dtrue%26os%3D132680%26oe%3D132686" xr:uid="{9727202B-3737-43D6-B604-10AE56E6ED9D}"/>
    <hyperlink ref="K26" r:id="rId171" display="fdsup://factset/Doc Viewer Single?float_window=true&amp;positioning_strategy=center_on_screen&amp;_doc_docfn=U2FsdGVkX1++5S4E/Kfnfo4p5V9uW0j2i3T/U31/7QcUywLfs8c09gx1WGrOJmJXkHaef7L1VsrCu1r/kQU9UtE9CAMbsjeZMkPG0TFd5EQ=&amp;_app_id=central_doc_viewer&amp;center_on_screen=true&amp;width=950&amp;height=800&amp;_dd2=%26f%3Dsld%26c%3Dtrue%26os%3D137446%26oe%3D137452" xr:uid="{03088B4A-83A3-4EC5-879D-8F3DC0190F16}"/>
    <hyperlink ref="B28" r:id="rId172" display="fdsup://factset/Doc Viewer Single?float_window=true&amp;positioning_strategy=center_on_screen&amp;_doc_docfn=U2FsdGVkX1+i08gZQYXW/jGsfodQ180vMNVTkX62FsgrYFgc2bVyh8lkAljVS3VShlz0WJ7xf7Zk4x2mA4M0KHzaanbMv+EL+VQ379c51nk=&amp;_app_id=central_doc_viewer&amp;center_on_screen=true&amp;width=950&amp;height=800&amp;_dd2=%26f%3Dsld%26c%3Dtrue%26os%3D66995%26oe%3D66999" xr:uid="{342BEB02-86D4-426C-A173-2C00FAD86DB3}"/>
    <hyperlink ref="C28" r:id="rId173" display="fdsup://factset/Doc Viewer Single?float_window=true&amp;positioning_strategy=center_on_screen&amp;_doc_docfn=U2FsdGVkX1+RIg9aJqPSb0Bs2KCON1/wiG83pcsqRsecXVMayCIjNs+xnm3MWBCIATzb8TCOawH/ltcHBsPIidmollWVXFfLxotrOmVkqOA=&amp;_app_id=central_doc_viewer&amp;center_on_screen=true&amp;width=950&amp;height=800&amp;_dd2=%26f%3Dsld%26c%3Dtrue%26os%3D68280%26oe%3D68284" xr:uid="{7AB73EA3-FF9B-4145-B038-8324D3D1700C}"/>
    <hyperlink ref="D28" r:id="rId174" display="fdsup://factset/Doc Viewer Single?float_window=true&amp;positioning_strategy=center_on_screen&amp;_doc_docfn=U2FsdGVkX19xK4R4/FfnLhPGM/cs+Ps5HssXKPnpSHHv2VPIUTIyJVVl55UfnChD+kdnLDeD3sLw2z7j8arluQ1O85CdrLzFMgaCZ6aHR+M=&amp;_app_id=central_doc_viewer&amp;center_on_screen=true&amp;width=950&amp;height=800&amp;_dd2=%26f%3Dsld%26c%3Dtrue%26os%3D64602%26oe%3D64607" xr:uid="{96C6AE92-C636-44B2-B6C0-3D5B71FC2008}"/>
    <hyperlink ref="E28" r:id="rId175" display="fdsup://factset/Doc Viewer Single?float_window=true&amp;positioning_strategy=center_on_screen&amp;_doc_docfn=U2FsdGVkX182krF+eGVMDulBIwL7KzkcUgd3ALwJ9rgOr0vg+Fu8g2mwbhmzRjkFR+erYN/ik5YeSylgI4A0NqXFNXLIB+9BhqU8vM+7vh8=&amp;_app_id=central_doc_viewer&amp;center_on_screen=true&amp;width=950&amp;height=800&amp;_dd2=%26f%3Dsld%26c%3Dtrue%26os%3D66054%26oe%3D66059" xr:uid="{26DFF40D-5FC9-44E7-BD4B-C9BC8DBBE856}"/>
    <hyperlink ref="F28" r:id="rId176" display="fdsup://factset/Doc Viewer Single?float_window=true&amp;positioning_strategy=center_on_screen&amp;_doc_docfn=U2FsdGVkX197SMv9my5TWMnM+hY1pnrCHhX1Sfd1OmjYBsuesXHXqelmBHl8CLstX7QSTJEQGUrTX/utr4WlOdaz7aiEgJs27MxS2+eGFak=&amp;_app_id=central_doc_viewer&amp;center_on_screen=true&amp;width=950&amp;height=800&amp;_dd2=%26f%3Dsld%26c%3Dtrue%26os%3D129594%26oe%3D129599" xr:uid="{48A63C3D-1D40-46F8-A571-ECC5D331C115}"/>
    <hyperlink ref="G28" r:id="rId177" display="fdsup://factset/Doc Viewer Single?float_window=true&amp;positioning_strategy=center_on_screen&amp;_doc_docfn=U2FsdGVkX18mG+rHs23B+9QnfSqn9lZLzb7rMlkkUmIiqeZoTRiUBo0CX5a8PCO6Jzk1uGkh7eAa6pR34DtQDqX+HXzYPAfkcRMlDta/I7c=&amp;_app_id=central_doc_viewer&amp;center_on_screen=true&amp;width=950&amp;height=800&amp;_dd2=%26f%3Dsld%26c%3Dtrue%26os%3D210091%26oe%3D210096" xr:uid="{CECC9AB2-4A7C-4C32-BD42-DAB66119C088}"/>
    <hyperlink ref="H28" r:id="rId178" display="fdsup://factset/Doc Viewer Single?float_window=true&amp;positioning_strategy=center_on_screen&amp;_doc_docfn=U2FsdGVkX19pZUVCgJ0hQdv36az+Cfh2SVIdvAe8EJ8cFUy7EUl3GhT+Xby41UplZpGizu7CTU0iWVDyED6yOUJxBRfClTeOxRV59CNAZRc=&amp;_app_id=central_doc_viewer&amp;center_on_screen=true&amp;width=950&amp;height=800&amp;_dd2=%26f%3Dsld%26c%3Dtrue%26os%3D144546%26oe%3D144551" xr:uid="{94F14054-106D-4D79-978D-B542DDE54BF1}"/>
    <hyperlink ref="I28" r:id="rId179" display="fdsup://factset/Doc Viewer Single?float_window=true&amp;positioning_strategy=center_on_screen&amp;_doc_docfn=U2FsdGVkX1/0pZ74ZMBy0cPebsyYA2S534AS1psKHVAIoN1wUuW1stHj05RdIQDzBGvFjmd8foZwPPYU1ocVpkT8I572fdxZXw4wM6hORfA=&amp;_app_id=central_doc_viewer&amp;center_on_screen=true&amp;width=950&amp;height=800&amp;_dd2=%26f%3Dsld%26c%3Dtrue%26os%3D132299%26oe%3D132304" xr:uid="{D0F4E6F1-7433-42E6-A5B9-DB5BED41319B}"/>
    <hyperlink ref="J28" r:id="rId180" display="fdsup://factset/Doc Viewer Single?float_window=true&amp;positioning_strategy=center_on_screen&amp;_doc_docfn=U2FsdGVkX18nSeFXl0yiqRR++oWwRfWbUE7P5hp4m8tYSxTGQl6vkUZs9M5yYtdzTJ/VCZS4DHR/546LfxUaQrL6zmdvvPVrbQ5GxPpR1+I=&amp;_app_id=central_doc_viewer&amp;center_on_screen=true&amp;width=950&amp;height=800&amp;_dd2=%26f%3Dsld%26c%3Dtrue%26os%3D133745%26oe%3D133750" xr:uid="{4FC93C7C-639C-4E2F-BE60-4F77EB35DB7B}"/>
    <hyperlink ref="K28" r:id="rId181" display="fdsup://factset/Doc Viewer Single?float_window=true&amp;positioning_strategy=center_on_screen&amp;_doc_docfn=U2FsdGVkX19UpUwaYzuBRgsAqukFgZzjBgRG7fS6ndAzjfbwQj0YB7677fOfqKcVRxeSZ+MaIVWi+5yWZWnWQG2zfZPLNh2lqeQqgPZAaYE=&amp;_app_id=central_doc_viewer&amp;center_on_screen=true&amp;width=950&amp;height=800&amp;_dd2=%26f%3Dsld%26c%3Dtrue%26os%3D138511%26oe%3D138516" xr:uid="{9C663D98-574A-4D8F-9C3C-C09C6004FE1B}"/>
    <hyperlink ref="B29" r:id="rId182" display="fdsup://factset/Doc Viewer Single?float_window=true&amp;positioning_strategy=center_on_screen&amp;_doc_docfn=U2FsdGVkX19b04dgXB/AMfbUj1F1k5y2W7quvms/bnosL34he3rkCj2rAUwIsOsRXxkg3xqOZD7OcEYhSNNNEJiheSJfCzesoyD4BPSRDRc=&amp;_app_id=central_doc_viewer&amp;center_on_screen=true&amp;width=950&amp;height=800&amp;_dd2=%26f%3Dsld%26c%3Dtrue%26os%3D67760%26oe%3D67764" xr:uid="{770FE002-AED8-413B-B90E-6F04140F5D63}"/>
    <hyperlink ref="C29" r:id="rId183" display="fdsup://factset/Doc Viewer Single?float_window=true&amp;positioning_strategy=center_on_screen&amp;_doc_docfn=U2FsdGVkX1+2PWiSNwpqgCgep7Het9+mqYgGpcwt13BE++UZ6J6nXQBL6jB/zcxua193Jwqwm8i3pffTdP0/PtYhZ+cxxk5SxCNrtQ/5I4g=&amp;_app_id=central_doc_viewer&amp;center_on_screen=true&amp;width=950&amp;height=800&amp;_dd2=%26f%3Dsld%26c%3Dtrue%26os%3D69045%26oe%3D69049" xr:uid="{49CAEA1E-5AA0-4F12-B6A7-6D9AB5D1B78C}"/>
    <hyperlink ref="D29" r:id="rId184" display="fdsup://factset/Doc Viewer Single?float_window=true&amp;positioning_strategy=center_on_screen&amp;_doc_docfn=U2FsdGVkX1/fFecG2xq0t981zlz+oiF4+r9d614OFiVESgunaGEqX1yvg2by6nF7vgG/Gxir8tOnapMROXi5SARmAwJT7i1ihlb+oSOMv8I=&amp;_app_id=central_doc_viewer&amp;center_on_screen=true&amp;width=950&amp;height=800&amp;_dd2=%26f%3Dsld%26c%3Dtrue%26os%3D65369%26oe%3D65374" xr:uid="{B3311F4C-5BE2-4065-9372-5F1537847735}"/>
    <hyperlink ref="E29" r:id="rId185" display="fdsup://factset/Doc Viewer Single?float_window=true&amp;positioning_strategy=center_on_screen&amp;_doc_docfn=U2FsdGVkX18gsMkwJ05aQ0XMaOy+qmSWQpgDcVugpwTQ1TNHelhc951OCvMAbsMFc7V4i3OPKw9UWpfBwJAFCobqLdZe7Re9GxXokSUD2Ow=&amp;_app_id=central_doc_viewer&amp;center_on_screen=true&amp;width=950&amp;height=800&amp;_dd2=%26f%3Dsld%26c%3Dtrue%26os%3D66823%26oe%3D66828" xr:uid="{927C490D-9647-437D-8C12-6AF4EA2FB5D4}"/>
    <hyperlink ref="F29" r:id="rId186" display="fdsup://factset/Doc Viewer Single?float_window=true&amp;positioning_strategy=center_on_screen&amp;_doc_docfn=U2FsdGVkX18TJbotSt+AUqgWDfBd4WWwZZagRlqdVyQuwPxnGGKaFTLz9E+/2eyXKCAacMPy4Rhj5WKb2jgmoYbTpqWMj3RrpREA+Fynz34=&amp;_app_id=central_doc_viewer&amp;center_on_screen=true&amp;width=950&amp;height=800&amp;_dd2=%26f%3Dsld%26c%3Dtrue%26os%3D130303%26oe%3D130308" xr:uid="{E369E46B-48E2-4293-8231-9A63352CDBA2}"/>
    <hyperlink ref="G29" r:id="rId187" display="fdsup://factset/Doc Viewer Single?float_window=true&amp;positioning_strategy=center_on_screen&amp;_doc_docfn=U2FsdGVkX18uEcVx5I9mOVsyq0YOEIS+6d4yLkoXxe0atkwaI+jr35bALl95SicoX7KnUUL156XIWp82EQeGuxiL1Il8DgCDR+ZzUTVLmOw=&amp;_app_id=central_doc_viewer&amp;center_on_screen=true&amp;width=950&amp;height=800&amp;_dd2=%26f%3Dsld%26c%3Dtrue%26os%3D210800%26oe%3D210805" xr:uid="{57DA318B-5414-4BEC-9907-5FBCB21E4152}"/>
    <hyperlink ref="H29" r:id="rId188" display="fdsup://factset/Doc Viewer Single?float_window=true&amp;positioning_strategy=center_on_screen&amp;_doc_docfn=U2FsdGVkX1+aKIUvUGCLNY+WKXWlaFDZpGNHna9NxSyzOHO2k5Uo9t5Oir+g0EqC4xEJwhKQ33zAMXGtuglw1p93kt5njkuI6UR7gTHUKkc=&amp;_app_id=central_doc_viewer&amp;center_on_screen=true&amp;width=950&amp;height=800&amp;_dd2=%26f%3Dsld%26c%3Dtrue%26os%3D145255%26oe%3D145260" xr:uid="{8CC5E88C-2334-40D8-828D-BEE6AA25B1B7}"/>
    <hyperlink ref="I29" r:id="rId189" display="fdsup://factset/Doc Viewer Single?float_window=true&amp;positioning_strategy=center_on_screen&amp;_doc_docfn=U2FsdGVkX1+Ik0bq0X7bVpPBPCAhp5Twsvmc3W/gO9YH2+mh6X44kXtYcBf5og20B1KNHjlCMyn8ShY83H+an10Nu/112KENiWsbhnHc1vM=&amp;_app_id=central_doc_viewer&amp;center_on_screen=true&amp;width=950&amp;height=800&amp;_dd2=%26f%3Dsld%26c%3Dtrue%26os%3D133008%26oe%3D133013" xr:uid="{0BFE2278-7DF0-4F02-A757-E61336BC282A}"/>
    <hyperlink ref="J29" r:id="rId190" display="fdsup://factset/Doc Viewer Single?float_window=true&amp;positioning_strategy=center_on_screen&amp;_doc_docfn=U2FsdGVkX184NUrNX6myCEKr77lyyX6I0Qngw9pKhYczV5VLMyw6M89g1PfdwbJ8j5lA6b9+1pK6QiPc7wXYzu7kmcXt2/Hjpcwx6UCC/QI=&amp;_app_id=central_doc_viewer&amp;center_on_screen=true&amp;width=950&amp;height=800&amp;_dd2=%26f%3Dsld%26c%3Dtrue%26os%3D134454%26oe%3D134459" xr:uid="{B3EAE19F-351B-4F21-9545-32B50777CAE6}"/>
    <hyperlink ref="K29" r:id="rId191" display="fdsup://factset/Doc Viewer Single?float_window=true&amp;positioning_strategy=center_on_screen&amp;_doc_docfn=U2FsdGVkX1+ocj7C3s6JCeYye+iL7pjzMSG1VLG/UPjgaIlmWJ6ARac1cP6aJ07dWMBLxrZAaxadl4rLlWCIGQTDiz0qQkkFdSK5t/+TbX0=&amp;_app_id=central_doc_viewer&amp;center_on_screen=true&amp;width=950&amp;height=800&amp;_dd2=%26f%3Dsld%26c%3Dtrue%26os%3D139220%26oe%3D139225" xr:uid="{3BF51B2C-DE94-47B9-8FD5-5B125C763115}"/>
    <hyperlink ref="B31" r:id="rId192" display="fdsup://factset/Doc Viewer Single?float_window=true&amp;positioning_strategy=center_on_screen&amp;_doc_docfn=U2FsdGVkX1/YyiulRuNxubQfHrH1qXxjbseIpFv+vc+a4ntCMB3VDqV2EKvB9ilm/LADauyq3KriRQfIq3c2gOB4Jmci9EmAyCD9qZjmrho=&amp;_app_id=central_doc_viewer&amp;center_on_screen=true&amp;width=950&amp;height=800&amp;_dd2=%26f%3Dsld%26c%3Dtrue%26os%3D68598%26oe%3D68601" xr:uid="{34A5B17E-2D8F-4FB3-9D11-021540032A7C}"/>
    <hyperlink ref="C31" r:id="rId193" display="fdsup://factset/Doc Viewer Single?float_window=true&amp;positioning_strategy=center_on_screen&amp;_doc_docfn=U2FsdGVkX1/kPYQMzp0i5KLPjedIo+QA04u6h5DtEtVjFzd3X7gcbDnfG5/rR5cJFuqq4lGOngDC62rrCaoKkTXh//l+VEvF9fT2VgNsqg4=&amp;_app_id=central_doc_viewer&amp;center_on_screen=true&amp;width=950&amp;height=800&amp;_dd2=%26f%3Dsld%26c%3Dtrue%26os%3D69883%26oe%3D69886" xr:uid="{2FD1DD89-C2AA-4973-960B-D723D07CF168}"/>
    <hyperlink ref="D31" r:id="rId194" display="fdsup://factset/Doc Viewer Single?float_window=true&amp;positioning_strategy=center_on_screen&amp;_doc_docfn=U2FsdGVkX1+Shfun3V3/jyPW9EZegsszgKvxUqhbKSAPT04rm8kFUSpr68KoMF8APW+0ljIf8V29OKeknCl5rGACK4NHxnT6Cd/c+Z1XLRU=&amp;_app_id=central_doc_viewer&amp;center_on_screen=true&amp;width=950&amp;height=800&amp;_dd2=%26f%3Dsld%26c%3Dtrue%26os%3D66208%26oe%3D66211" xr:uid="{9D5E6F34-3F47-47AD-A60E-CFE4FB510623}"/>
    <hyperlink ref="E31" r:id="rId195" display="fdsup://factset/Doc Viewer Single?float_window=true&amp;positioning_strategy=center_on_screen&amp;_doc_docfn=U2FsdGVkX1/Eoc2bpuo4wbewK4yCLz8GR5cN3/vax1fHMEfownyx8DcFYv1InnRcuOhAZiNG1TvLEmgg7HfyIxl4hqLkWFXjrQ6Qy5mQ8Sk=&amp;_app_id=central_doc_viewer&amp;center_on_screen=true&amp;width=950&amp;height=800&amp;_dd2=%26f%3Dsld%26c%3Dtrue%26os%3D67664%26oe%3D67667" xr:uid="{4AFBD822-FFE9-4AFC-B3F4-1BC932CF506C}"/>
    <hyperlink ref="F31" r:id="rId196" display="fdsup://factset/Doc Viewer Single?float_window=true&amp;positioning_strategy=center_on_screen&amp;_doc_docfn=U2FsdGVkX18v6U+NczG/rarKDpJ3pp67+ZO95akONeTpeuqjlRK5S1yRcmj7SsQ5Y6rB231sPif6rgMf7w3FuTOE3gG7KALbhiGZ+gmGtgU=&amp;_app_id=central_doc_viewer&amp;center_on_screen=true&amp;width=950&amp;height=800&amp;_dd2=%26f%3Dsld%26c%3Dtrue%26os%3D131086%26oe%3D131089" xr:uid="{247B0C8A-55CF-484B-85A6-E10CCFBCEA16}"/>
    <hyperlink ref="G31" r:id="rId197" display="fdsup://factset/Doc Viewer Single?float_window=true&amp;positioning_strategy=center_on_screen&amp;_doc_docfn=U2FsdGVkX1824Mhbii/zmwXQaqsTOT0ivlVJSc6r8CS8PmwApV9GLyUX2nfNhGILN2epxEGu9j8s4gOw1Buv7/4nqy9+eCahGMX2EgGibKc=&amp;_app_id=central_doc_viewer&amp;center_on_screen=true&amp;width=950&amp;height=800&amp;_dd2=%26f%3Dsld%26c%3Dtrue%26os%3D211583%26oe%3D211586" xr:uid="{32C8B47D-054F-46F6-9C89-66536720107E}"/>
    <hyperlink ref="H31" r:id="rId198" display="fdsup://factset/Doc Viewer Single?float_window=true&amp;positioning_strategy=center_on_screen&amp;_doc_docfn=U2FsdGVkX1/cF2ESq6xY7iFX5fvW0cuFrmv6wO8mfmatDJIU1zjoWtzzh1wD8rRiWew78eFY6yBmydhpfqsRaRlxOVSE061env4xKSvFxic=&amp;_app_id=central_doc_viewer&amp;center_on_screen=true&amp;width=950&amp;height=800&amp;_dd2=%26f%3Dsld%26c%3Dtrue%26os%3D146038%26oe%3D146041" xr:uid="{4147378C-4F54-4CCA-9877-6A77C656B6D8}"/>
    <hyperlink ref="I31" r:id="rId199" display="fdsup://factset/Doc Viewer Single?float_window=true&amp;positioning_strategy=center_on_screen&amp;_doc_docfn=U2FsdGVkX18rrOPFKgGiiZAS7M8rc9KoHJDOeouapBPeFbhdTgnqIQoHRLUn3DXhtbvFdgL2fJSDKOfAmc0pix2RKWONSGjrrq1gooYBodg=&amp;_app_id=central_doc_viewer&amp;center_on_screen=true&amp;width=950&amp;height=800&amp;_dd2=%26f%3Dsld%26c%3Dtrue%26os%3D133791%26oe%3D133794" xr:uid="{31F00E3F-8E1B-424D-BE27-9A67ADA871C4}"/>
    <hyperlink ref="J31" r:id="rId200" display="fdsup://factset/Doc Viewer Single?float_window=true&amp;positioning_strategy=center_on_screen&amp;_doc_docfn=U2FsdGVkX18bihXq4t5cHNnHm19LGSyAb+/gjNqeQ+4wkGo+dRReRkAoKvAHUETWQx5IIYg41PkA5MfFUTkpesmL0u9zL+UGoDeBbXRVzeo=&amp;_app_id=central_doc_viewer&amp;center_on_screen=true&amp;width=950&amp;height=800&amp;_dd2=%26f%3Dsld%26c%3Dtrue%26os%3D135237%26oe%3D135240" xr:uid="{EFD3DEBF-AC31-4328-92E0-8BA926216E7C}"/>
    <hyperlink ref="K31" r:id="rId201" display="fdsup://factset/Doc Viewer Single?float_window=true&amp;positioning_strategy=center_on_screen&amp;_doc_docfn=U2FsdGVkX1/yuQrHtzr1ApW+vA8GaJgLD2tuIlQT5bMEhtdXqI5whHP5xqO5V8oBCHLc1Ug0wSdi5NmArw0+IyR5AlstsFCBeILTjPigPX8=&amp;_app_id=central_doc_viewer&amp;center_on_screen=true&amp;width=950&amp;height=800&amp;_dd2=%26f%3Dsld%26c%3Dtrue%26os%3D140003%26oe%3D140006" xr:uid="{E97B7D84-759A-4F4D-A7EC-0354838DE741}"/>
    <hyperlink ref="B32" r:id="rId202" display="fdsup://factset/Doc Viewer Single?float_window=true&amp;positioning_strategy=center_on_screen&amp;_doc_docfn=U2FsdGVkX1+7SadxvxT/nZUkDl3VHtwYvMxn/KDbmiZb9DtmP4VE5l0uokd2NWdhiYsp8iPfxhnbm2tzF13UBnnzDvqv2wbs84u1djzEbTY=&amp;_app_id=central_doc_viewer&amp;center_on_screen=true&amp;width=950&amp;height=800&amp;_dd2=%26f%3Dsld%26c%3Dtrue%26os%3D70357%26oe%3D70360" xr:uid="{FB06C90C-3CFD-4933-8A9D-CAAA5C6C290D}"/>
    <hyperlink ref="C32" r:id="rId203" display="fdsup://factset/Doc Viewer Single?float_window=true&amp;positioning_strategy=center_on_screen&amp;_doc_docfn=U2FsdGVkX19OeUSVxjI6Gj0NausfRO+N16/J+KSFUvJZw7taTdAD75uSu0gENRtNpJx5vpsk5w4kdy7TUyZMJx0YU8F2iztEQcKRLo5eVgY=&amp;_app_id=central_doc_viewer&amp;center_on_screen=true&amp;width=950&amp;height=800&amp;_dd2=%26f%3Dsld%26c%3Dtrue%26os%3D71639%26oe%3D71642" xr:uid="{18F86837-0CC8-4C1E-83CF-F9FDA9FE1B68}"/>
    <hyperlink ref="D32" r:id="rId204" display="fdsup://factset/Doc Viewer Single?float_window=true&amp;positioning_strategy=center_on_screen&amp;_doc_docfn=U2FsdGVkX189bTmLDbQFB3q5uCwx1+VJ0uaWq+QtZzjPIr0GTcH9rMAhAptOU91CW+0lycnh3GLHlkNsGIsWIGa1lkDJBxS05qPi9JsZAUg=&amp;_app_id=central_doc_viewer&amp;center_on_screen=true&amp;width=950&amp;height=800&amp;_dd2=%26f%3Dsld%26c%3Dtrue%26os%3D67964%26oe%3D67967" xr:uid="{8DC11347-DC94-4060-B8A9-505E511206A5}"/>
    <hyperlink ref="E32" r:id="rId205" display="fdsup://factset/Doc Viewer Single?float_window=true&amp;positioning_strategy=center_on_screen&amp;_doc_docfn=U2FsdGVkX18+vqkBHp7ItMN5wpMve11XGPC8tum7uhAvPnKtYGGDWKFYJ7L39paBcXm3fcioPivyEd2t5E/SwzkvxZMorDgBVLjbXrCDJUw=&amp;_app_id=central_doc_viewer&amp;center_on_screen=true&amp;width=950&amp;height=800&amp;_dd2=%26f%3Dsld%26c%3Dtrue%26os%3D69420%26oe%3D69423" xr:uid="{C1BE32B3-48DA-48E7-9352-51327950653B}"/>
    <hyperlink ref="F32" r:id="rId206" display="fdsup://factset/Doc Viewer Single?float_window=true&amp;positioning_strategy=center_on_screen&amp;_doc_docfn=U2FsdGVkX18j1KL96ekctSKGwlvpz7pVuQdSQmnXuk62fUNPhXrm3+UoMk44Rrb8CIcN7licvOZEu5IMHt3b/XokAklOSV88zZcO4mzzTEQ=&amp;_app_id=central_doc_viewer&amp;center_on_screen=true&amp;width=950&amp;height=800&amp;_dd2=%26f%3Dsld%26c%3Dtrue%26os%3D132730%26oe%3D132733" xr:uid="{E2B233A0-6EEB-419A-AC61-4FBD218DBC5C}"/>
    <hyperlink ref="G32" r:id="rId207" display="fdsup://factset/Doc Viewer Single?float_window=true&amp;positioning_strategy=center_on_screen&amp;_doc_docfn=U2FsdGVkX191Z+gB0BXm6jsKLdGcdtES7F+pQqlQoGV3aicgKp7EDUnXgkf3SWIemRoDXj68LpFv9ahngNE8QYchMeuXLpb2qs+OmnNpjdk=&amp;_app_id=central_doc_viewer&amp;center_on_screen=true&amp;width=950&amp;height=800&amp;_dd2=%26f%3Dsld%26c%3Dtrue%26os%3D213227%26oe%3D213230" xr:uid="{65B2AECF-FD19-4298-9E66-558688F90A97}"/>
    <hyperlink ref="H32" r:id="rId208" display="fdsup://factset/Doc Viewer Single?float_window=true&amp;positioning_strategy=center_on_screen&amp;_doc_docfn=U2FsdGVkX18W1+s+p0b3iNwmOJp4BPQ2RgN5bxLmVbYJnV1PesbCv9ux0Cz5wC0284f/yp+1dwod5tRkLgJOck1I3JsblDou2bi5rP1hISE=&amp;_app_id=central_doc_viewer&amp;center_on_screen=true&amp;width=950&amp;height=800&amp;_dd2=%26f%3Dsld%26c%3Dtrue%26os%3D147682%26oe%3D147685" xr:uid="{1C345D60-3E22-4DBF-861B-CF3B4DAE5B0A}"/>
    <hyperlink ref="I32" r:id="rId209" display="fdsup://factset/Doc Viewer Single?float_window=true&amp;positioning_strategy=center_on_screen&amp;_doc_docfn=U2FsdGVkX18UwdfxvowBrf3jzgxqndpMVQVnNllBgnoO1G+Rfuh+OYWtlBOAb/gspVI+AmsMv+ht2MKKcgLzaI5crT/AzI3JQUMrdHsiWBY=&amp;_app_id=central_doc_viewer&amp;center_on_screen=true&amp;width=950&amp;height=800&amp;_dd2=%26f%3Dsld%26c%3Dtrue%26os%3D135435%26oe%3D135438" xr:uid="{C1F98638-6602-45E6-A450-9E6A03737A92}"/>
    <hyperlink ref="J32" r:id="rId210" display="fdsup://factset/Doc Viewer Single?float_window=true&amp;positioning_strategy=center_on_screen&amp;_doc_docfn=U2FsdGVkX1/pDvimyD52lp9bBgauvElnjNJ2kp8qkdTweDPVnCMsgfgEmcvZ2IwBg3qlUyGs73YBCVsw0saBywUP3hZ3w58eoTU+6DJKmlY=&amp;_app_id=central_doc_viewer&amp;center_on_screen=true&amp;width=950&amp;height=800&amp;_dd2=%26f%3Dsld%26c%3Dtrue%26os%3D136881%26oe%3D136884" xr:uid="{09ACBD36-E335-438D-B0B4-CAADB05FB4E9}"/>
    <hyperlink ref="K32" r:id="rId211" display="fdsup://factset/Doc Viewer Single?float_window=true&amp;positioning_strategy=center_on_screen&amp;_doc_docfn=U2FsdGVkX189at9mRlHnkIToLWM4yGcx7YSEulWxYO0oQYTxsraI6vNORKTme5BLIxcPcyYcFxyFNGzThPY9BbOrM6I0vf4LZrTtuqZOr5I=&amp;_app_id=central_doc_viewer&amp;center_on_screen=true&amp;width=950&amp;height=800&amp;_dd2=%26f%3Dsld%26c%3Dtrue%26os%3D141645%26oe%3D141648" xr:uid="{91C05842-E654-4EE5-9229-35044C19B10F}"/>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BE34-2DBF-40D3-BBBE-3AA0AF5F63E9}">
  <sheetPr>
    <outlinePr summaryBelow="0" summaryRight="0"/>
  </sheetPr>
  <dimension ref="A1:M9"/>
  <sheetViews>
    <sheetView workbookViewId="0">
      <selection activeCell="B5" sqref="B5:G5"/>
    </sheetView>
  </sheetViews>
  <sheetFormatPr defaultColWidth="9.21875" defaultRowHeight="15" customHeight="1" outlineLevelRow="1" x14ac:dyDescent="0.25"/>
  <cols>
    <col min="1" max="1" width="25.5546875" style="1" customWidth="1"/>
    <col min="2" max="7" width="7.77734375" style="1" customWidth="1"/>
    <col min="8" max="13" width="8.77734375" style="1" customWidth="1"/>
    <col min="14" max="16384" width="9.21875" style="1"/>
  </cols>
  <sheetData>
    <row r="1" spans="1:13" ht="15" customHeight="1" x14ac:dyDescent="0.25">
      <c r="A1" s="21" t="s">
        <v>130</v>
      </c>
    </row>
    <row r="2" spans="1:13" ht="15" customHeight="1" x14ac:dyDescent="0.25">
      <c r="A2" s="1" t="s">
        <v>56</v>
      </c>
    </row>
    <row r="3" spans="1:13" ht="15" customHeight="1" x14ac:dyDescent="0.25">
      <c r="A3" s="18"/>
      <c r="B3" s="18" t="s">
        <v>66</v>
      </c>
      <c r="C3" s="18" t="s">
        <v>65</v>
      </c>
      <c r="D3" s="18" t="s">
        <v>64</v>
      </c>
      <c r="E3" s="18" t="s">
        <v>63</v>
      </c>
      <c r="F3" s="18" t="s">
        <v>62</v>
      </c>
      <c r="G3" s="18" t="s">
        <v>129</v>
      </c>
      <c r="H3" s="18" t="s">
        <v>49</v>
      </c>
      <c r="I3" s="18" t="s">
        <v>48</v>
      </c>
      <c r="J3" s="18" t="s">
        <v>47</v>
      </c>
      <c r="K3" s="18" t="s">
        <v>46</v>
      </c>
      <c r="L3" s="18" t="s">
        <v>45</v>
      </c>
      <c r="M3" s="18" t="s">
        <v>128</v>
      </c>
    </row>
    <row r="4" spans="1:13" ht="15" customHeight="1" x14ac:dyDescent="0.25">
      <c r="A4" s="64"/>
      <c r="B4" s="64" t="s">
        <v>61</v>
      </c>
      <c r="C4" s="64" t="s">
        <v>60</v>
      </c>
      <c r="D4" s="64" t="s">
        <v>59</v>
      </c>
      <c r="E4" s="64" t="s">
        <v>58</v>
      </c>
      <c r="F4" s="64" t="s">
        <v>57</v>
      </c>
      <c r="G4" s="64" t="s">
        <v>127</v>
      </c>
      <c r="H4" s="64" t="s">
        <v>44</v>
      </c>
      <c r="I4" s="64" t="s">
        <v>43</v>
      </c>
      <c r="J4" s="64" t="s">
        <v>42</v>
      </c>
      <c r="K4" s="64" t="s">
        <v>41</v>
      </c>
      <c r="L4" s="64" t="s">
        <v>40</v>
      </c>
      <c r="M4" s="64" t="s">
        <v>126</v>
      </c>
    </row>
    <row r="5" spans="1:13" ht="15" customHeight="1" outlineLevel="1" x14ac:dyDescent="0.25">
      <c r="A5" s="4" t="s">
        <v>55</v>
      </c>
      <c r="B5" s="63">
        <v>2071</v>
      </c>
      <c r="C5" s="63">
        <v>2089.11</v>
      </c>
      <c r="D5" s="63">
        <v>2416.46</v>
      </c>
      <c r="E5" s="63">
        <v>2703.76</v>
      </c>
      <c r="F5" s="63">
        <v>3386</v>
      </c>
      <c r="G5" s="63">
        <v>3499</v>
      </c>
      <c r="H5" s="63">
        <v>3689.5</v>
      </c>
      <c r="I5" s="63">
        <v>3906.17</v>
      </c>
      <c r="J5" s="63">
        <v>4096.62</v>
      </c>
      <c r="K5" s="63">
        <v>3858.5</v>
      </c>
      <c r="L5" s="63">
        <v>4027</v>
      </c>
      <c r="M5" s="6" t="s">
        <v>0</v>
      </c>
    </row>
    <row r="6" spans="1:13" ht="15" customHeight="1" outlineLevel="1" x14ac:dyDescent="0.25">
      <c r="A6" s="3" t="s">
        <v>54</v>
      </c>
      <c r="B6" s="15">
        <v>15992</v>
      </c>
      <c r="C6" s="15">
        <v>20123</v>
      </c>
      <c r="D6" s="15">
        <v>20548.5</v>
      </c>
      <c r="E6" s="15">
        <v>25043</v>
      </c>
      <c r="F6" s="15">
        <v>25300.5</v>
      </c>
      <c r="G6" s="15">
        <v>23444</v>
      </c>
      <c r="H6" s="15">
        <v>19858.5</v>
      </c>
      <c r="I6" s="15">
        <v>18181.2</v>
      </c>
      <c r="J6" s="15">
        <v>21505.8</v>
      </c>
      <c r="K6" s="15">
        <v>24258.6</v>
      </c>
      <c r="L6" s="15">
        <v>27146</v>
      </c>
      <c r="M6" s="8" t="s">
        <v>0</v>
      </c>
    </row>
    <row r="7" spans="1:13" ht="15" customHeight="1" outlineLevel="1" x14ac:dyDescent="0.25">
      <c r="A7" s="4" t="s">
        <v>53</v>
      </c>
      <c r="B7" s="63">
        <v>18263</v>
      </c>
      <c r="C7" s="63">
        <v>19929.5</v>
      </c>
      <c r="D7" s="63">
        <v>22343</v>
      </c>
      <c r="E7" s="63">
        <v>26206</v>
      </c>
      <c r="F7" s="63">
        <v>29068</v>
      </c>
      <c r="G7" s="63">
        <v>24204</v>
      </c>
      <c r="H7" s="63">
        <v>18597.8</v>
      </c>
      <c r="I7" s="63">
        <v>20819</v>
      </c>
      <c r="J7" s="63">
        <v>25273.5</v>
      </c>
      <c r="K7" s="63">
        <v>30012</v>
      </c>
      <c r="L7" s="63">
        <v>35152</v>
      </c>
      <c r="M7" s="6" t="s">
        <v>0</v>
      </c>
    </row>
    <row r="8" spans="1:13" ht="15" customHeight="1" outlineLevel="1" x14ac:dyDescent="0.25">
      <c r="A8" s="3" t="s">
        <v>52</v>
      </c>
      <c r="B8" s="65">
        <v>-12699</v>
      </c>
      <c r="C8" s="65">
        <v>-12532</v>
      </c>
      <c r="D8" s="65">
        <v>-10372</v>
      </c>
      <c r="E8" s="65">
        <v>-28476</v>
      </c>
      <c r="F8" s="65">
        <v>-15574</v>
      </c>
      <c r="G8" s="65">
        <v>-20527</v>
      </c>
      <c r="H8" s="65">
        <v>-8197.5</v>
      </c>
      <c r="I8" s="65">
        <v>-10569</v>
      </c>
      <c r="J8" s="65">
        <v>-8634</v>
      </c>
      <c r="K8" s="65">
        <v>-13591</v>
      </c>
      <c r="L8" s="65">
        <v>-13691</v>
      </c>
      <c r="M8" s="8" t="s">
        <v>0</v>
      </c>
    </row>
    <row r="9" spans="1:13" ht="15" customHeight="1" outlineLevel="1" x14ac:dyDescent="0.25">
      <c r="A9" s="4" t="s">
        <v>51</v>
      </c>
      <c r="B9" s="66">
        <v>-5625</v>
      </c>
      <c r="C9" s="66">
        <v>-3590</v>
      </c>
      <c r="D9" s="66">
        <v>-7455</v>
      </c>
      <c r="E9" s="63">
        <v>2507</v>
      </c>
      <c r="F9" s="66">
        <v>-11529</v>
      </c>
      <c r="G9" s="6" t="s">
        <v>0</v>
      </c>
      <c r="H9" s="66">
        <v>-13350.5</v>
      </c>
      <c r="I9" s="66">
        <v>-10570.5</v>
      </c>
      <c r="J9" s="66">
        <v>-15232</v>
      </c>
      <c r="K9" s="66">
        <v>-14965</v>
      </c>
      <c r="L9" s="66">
        <v>-17364</v>
      </c>
      <c r="M9" s="6" t="s">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2282-4F17-497A-9085-9B5EA55A2CCA}">
  <sheetPr>
    <outlinePr summaryBelow="0" summaryRight="0"/>
  </sheetPr>
  <dimension ref="A1:K79"/>
  <sheetViews>
    <sheetView workbookViewId="0">
      <selection activeCell="A87" sqref="A87"/>
    </sheetView>
  </sheetViews>
  <sheetFormatPr defaultColWidth="9.21875" defaultRowHeight="15" customHeight="1" outlineLevelRow="4" x14ac:dyDescent="0.25"/>
  <cols>
    <col min="1" max="1" width="124.5546875" style="1" customWidth="1"/>
    <col min="2" max="11" width="10.5546875" style="1" customWidth="1"/>
    <col min="12" max="16384" width="9.21875" style="1"/>
  </cols>
  <sheetData>
    <row r="1" spans="1:11" ht="15" customHeight="1" x14ac:dyDescent="0.25">
      <c r="A1" s="21" t="s">
        <v>208</v>
      </c>
    </row>
    <row r="2" spans="1:11" ht="15" customHeight="1" x14ac:dyDescent="0.25">
      <c r="A2" s="20" t="s">
        <v>207</v>
      </c>
    </row>
    <row r="3" spans="1:11" ht="15" customHeight="1" x14ac:dyDescent="0.25">
      <c r="A3" s="19"/>
      <c r="B3" s="19"/>
      <c r="C3" s="19"/>
      <c r="D3" s="19"/>
      <c r="E3" s="19"/>
      <c r="F3" s="19"/>
      <c r="G3" s="19"/>
      <c r="H3" s="19"/>
      <c r="I3" s="19"/>
      <c r="J3" s="19"/>
      <c r="K3" s="19"/>
    </row>
    <row r="5" spans="1:11" ht="15" customHeight="1" x14ac:dyDescent="0.25">
      <c r="A5" s="18" t="s">
        <v>206</v>
      </c>
      <c r="B5" s="18"/>
      <c r="C5" s="18"/>
      <c r="D5" s="18"/>
      <c r="E5" s="18"/>
      <c r="F5" s="18"/>
      <c r="G5" s="18"/>
      <c r="H5" s="18"/>
      <c r="I5" s="18"/>
      <c r="J5" s="18"/>
      <c r="K5" s="18"/>
    </row>
    <row r="6" spans="1:11" ht="15" customHeight="1" x14ac:dyDescent="0.25">
      <c r="A6" s="18" t="s">
        <v>205</v>
      </c>
      <c r="B6" s="18"/>
      <c r="C6" s="18"/>
      <c r="D6" s="18"/>
      <c r="E6" s="18"/>
      <c r="F6" s="18"/>
      <c r="G6" s="18"/>
      <c r="H6" s="18"/>
      <c r="I6" s="18"/>
      <c r="J6" s="18"/>
      <c r="K6" s="18"/>
    </row>
    <row r="7" spans="1:11" ht="15" customHeight="1" x14ac:dyDescent="0.25">
      <c r="A7" s="18" t="s">
        <v>1</v>
      </c>
      <c r="B7" s="18"/>
      <c r="C7" s="18"/>
      <c r="D7" s="18"/>
      <c r="E7" s="18"/>
      <c r="F7" s="18"/>
      <c r="G7" s="18"/>
      <c r="H7" s="18"/>
      <c r="I7" s="18"/>
      <c r="J7" s="18"/>
      <c r="K7" s="18"/>
    </row>
    <row r="8" spans="1:11" ht="15" customHeight="1" x14ac:dyDescent="0.25">
      <c r="A8" s="18"/>
      <c r="B8" s="18" t="s">
        <v>204</v>
      </c>
      <c r="C8" s="18" t="s">
        <v>203</v>
      </c>
      <c r="D8" s="18" t="s">
        <v>202</v>
      </c>
      <c r="E8" s="18" t="s">
        <v>201</v>
      </c>
      <c r="F8" s="18" t="s">
        <v>200</v>
      </c>
      <c r="G8" s="18" t="s">
        <v>199</v>
      </c>
      <c r="H8" s="18" t="s">
        <v>198</v>
      </c>
      <c r="I8" s="18" t="s">
        <v>197</v>
      </c>
      <c r="J8" s="18" t="s">
        <v>196</v>
      </c>
      <c r="K8" s="18" t="s">
        <v>195</v>
      </c>
    </row>
    <row r="9" spans="1:11" ht="15" customHeight="1" x14ac:dyDescent="0.25">
      <c r="A9" s="12" t="s">
        <v>194</v>
      </c>
      <c r="B9" s="57">
        <v>9740</v>
      </c>
      <c r="C9" s="57">
        <v>9795</v>
      </c>
      <c r="D9" s="57">
        <v>13596</v>
      </c>
      <c r="E9" s="57">
        <v>15713</v>
      </c>
      <c r="F9" s="57">
        <v>18463</v>
      </c>
      <c r="G9" s="57">
        <v>22174</v>
      </c>
      <c r="H9" s="57">
        <v>22343</v>
      </c>
      <c r="I9" s="57">
        <v>26206</v>
      </c>
      <c r="J9" s="57">
        <v>29068</v>
      </c>
      <c r="K9" s="57">
        <v>24204</v>
      </c>
    </row>
    <row r="10" spans="1:11" ht="15" customHeight="1" outlineLevel="1" x14ac:dyDescent="0.25">
      <c r="A10" s="3" t="s">
        <v>193</v>
      </c>
      <c r="B10" s="13">
        <v>5868</v>
      </c>
      <c r="C10" s="13">
        <v>7073</v>
      </c>
      <c r="D10" s="13">
        <v>10823</v>
      </c>
      <c r="E10" s="13">
        <v>12382</v>
      </c>
      <c r="F10" s="13">
        <v>14239</v>
      </c>
      <c r="G10" s="13">
        <v>15769</v>
      </c>
      <c r="H10" s="13">
        <v>17732</v>
      </c>
      <c r="I10" s="13">
        <v>20639</v>
      </c>
      <c r="J10" s="13">
        <v>23144</v>
      </c>
      <c r="K10" s="13">
        <v>15242</v>
      </c>
    </row>
    <row r="11" spans="1:11" ht="15" customHeight="1" outlineLevel="1" x14ac:dyDescent="0.25">
      <c r="A11" s="10" t="s">
        <v>192</v>
      </c>
      <c r="B11" s="58">
        <v>1791</v>
      </c>
      <c r="C11" s="58">
        <v>2539</v>
      </c>
      <c r="D11" s="58">
        <v>2094</v>
      </c>
      <c r="E11" s="58">
        <v>3037</v>
      </c>
      <c r="F11" s="58">
        <v>3541</v>
      </c>
      <c r="G11" s="58">
        <v>3510</v>
      </c>
      <c r="H11" s="58">
        <v>3089</v>
      </c>
      <c r="I11" s="58">
        <v>3321</v>
      </c>
      <c r="J11" s="58">
        <v>4281</v>
      </c>
      <c r="K11" s="58">
        <v>9770</v>
      </c>
    </row>
    <row r="12" spans="1:11" ht="15" customHeight="1" outlineLevel="2" x14ac:dyDescent="0.25">
      <c r="A12" s="9" t="s">
        <v>191</v>
      </c>
      <c r="B12" s="13">
        <v>1693</v>
      </c>
      <c r="C12" s="13">
        <v>2055</v>
      </c>
      <c r="D12" s="13">
        <v>2245</v>
      </c>
      <c r="E12" s="13">
        <v>2428</v>
      </c>
      <c r="F12" s="13">
        <v>2720</v>
      </c>
      <c r="G12" s="13">
        <v>2891</v>
      </c>
      <c r="H12" s="13">
        <v>3103</v>
      </c>
      <c r="I12" s="13">
        <v>3400</v>
      </c>
      <c r="J12" s="13">
        <v>3972</v>
      </c>
      <c r="K12" s="13">
        <v>4099</v>
      </c>
    </row>
    <row r="13" spans="1:11" ht="15" customHeight="1" outlineLevel="2" x14ac:dyDescent="0.25">
      <c r="A13" s="59" t="s">
        <v>190</v>
      </c>
      <c r="B13" s="58">
        <v>-308</v>
      </c>
      <c r="C13" s="58">
        <v>-1</v>
      </c>
      <c r="D13" s="58">
        <v>-748</v>
      </c>
      <c r="E13" s="58">
        <v>-29</v>
      </c>
      <c r="F13" s="58">
        <v>124</v>
      </c>
      <c r="G13" s="58">
        <v>-60</v>
      </c>
      <c r="H13" s="58">
        <v>-814</v>
      </c>
      <c r="I13" s="58">
        <v>-1004</v>
      </c>
      <c r="J13" s="58">
        <v>-750</v>
      </c>
      <c r="K13" s="58">
        <v>-3657</v>
      </c>
    </row>
    <row r="14" spans="1:11" ht="15" customHeight="1" outlineLevel="3" x14ac:dyDescent="0.25">
      <c r="A14" s="55" t="s">
        <v>31</v>
      </c>
      <c r="B14" s="17">
        <v>-73</v>
      </c>
      <c r="C14" s="13">
        <v>81</v>
      </c>
      <c r="D14" s="17">
        <v>-965</v>
      </c>
      <c r="E14" s="13">
        <v>42</v>
      </c>
      <c r="F14" s="13">
        <v>230</v>
      </c>
      <c r="G14" s="17">
        <v>-8</v>
      </c>
      <c r="H14" s="13">
        <v>130</v>
      </c>
      <c r="I14" s="17">
        <v>-673</v>
      </c>
      <c r="J14" s="17">
        <v>-245</v>
      </c>
      <c r="K14" s="17">
        <v>-296</v>
      </c>
    </row>
    <row r="15" spans="1:11" ht="15" customHeight="1" outlineLevel="3" x14ac:dyDescent="0.25">
      <c r="A15" s="56" t="s">
        <v>189</v>
      </c>
      <c r="B15" s="6" t="s">
        <v>0</v>
      </c>
      <c r="C15" s="6" t="s">
        <v>0</v>
      </c>
      <c r="D15" s="6" t="s">
        <v>0</v>
      </c>
      <c r="E15" s="6" t="s">
        <v>0</v>
      </c>
      <c r="F15" s="6" t="s">
        <v>0</v>
      </c>
      <c r="G15" s="6" t="s">
        <v>0</v>
      </c>
      <c r="H15" s="6" t="s">
        <v>0</v>
      </c>
      <c r="I15" s="6" t="s">
        <v>0</v>
      </c>
      <c r="J15" s="6" t="s">
        <v>0</v>
      </c>
      <c r="K15" s="16">
        <v>-3333</v>
      </c>
    </row>
    <row r="16" spans="1:11" ht="15" customHeight="1" outlineLevel="3" x14ac:dyDescent="0.25">
      <c r="A16" s="55" t="s">
        <v>158</v>
      </c>
      <c r="B16" s="17">
        <v>-235</v>
      </c>
      <c r="C16" s="17">
        <v>-82</v>
      </c>
      <c r="D16" s="13">
        <v>217</v>
      </c>
      <c r="E16" s="17">
        <v>-71</v>
      </c>
      <c r="F16" s="17">
        <v>-106</v>
      </c>
      <c r="G16" s="17">
        <v>-52</v>
      </c>
      <c r="H16" s="17">
        <v>-944</v>
      </c>
      <c r="I16" s="17">
        <v>-331</v>
      </c>
      <c r="J16" s="17">
        <v>-505</v>
      </c>
      <c r="K16" s="17">
        <v>-28</v>
      </c>
    </row>
    <row r="17" spans="1:11" ht="15" customHeight="1" outlineLevel="2" x14ac:dyDescent="0.25">
      <c r="A17" s="7" t="s">
        <v>188</v>
      </c>
      <c r="B17" s="14">
        <v>406</v>
      </c>
      <c r="C17" s="14">
        <v>485</v>
      </c>
      <c r="D17" s="14">
        <v>597</v>
      </c>
      <c r="E17" s="14">
        <v>638</v>
      </c>
      <c r="F17" s="14">
        <v>697</v>
      </c>
      <c r="G17" s="14">
        <v>679</v>
      </c>
      <c r="H17" s="14">
        <v>800</v>
      </c>
      <c r="I17" s="14">
        <v>925</v>
      </c>
      <c r="J17" s="14">
        <v>1059</v>
      </c>
      <c r="K17" s="14">
        <v>1018</v>
      </c>
    </row>
    <row r="18" spans="1:11" ht="15" customHeight="1" outlineLevel="2" x14ac:dyDescent="0.25">
      <c r="A18" s="9" t="s">
        <v>187</v>
      </c>
      <c r="B18" s="8" t="s">
        <v>0</v>
      </c>
      <c r="C18" s="8" t="s">
        <v>0</v>
      </c>
      <c r="D18" s="8" t="s">
        <v>0</v>
      </c>
      <c r="E18" s="8" t="s">
        <v>0</v>
      </c>
      <c r="F18" s="8" t="s">
        <v>0</v>
      </c>
      <c r="G18" s="8" t="s">
        <v>0</v>
      </c>
      <c r="H18" s="8" t="s">
        <v>0</v>
      </c>
      <c r="I18" s="8" t="s">
        <v>0</v>
      </c>
      <c r="J18" s="8" t="s">
        <v>0</v>
      </c>
      <c r="K18" s="13">
        <v>8310</v>
      </c>
    </row>
    <row r="19" spans="1:11" ht="15" customHeight="1" outlineLevel="1" x14ac:dyDescent="0.25">
      <c r="A19" s="10" t="s">
        <v>186</v>
      </c>
      <c r="B19" s="58">
        <v>2081</v>
      </c>
      <c r="C19" s="58">
        <v>183</v>
      </c>
      <c r="D19" s="58">
        <v>679</v>
      </c>
      <c r="E19" s="58">
        <v>294</v>
      </c>
      <c r="F19" s="58">
        <v>683</v>
      </c>
      <c r="G19" s="58">
        <v>2895</v>
      </c>
      <c r="H19" s="58">
        <v>1522</v>
      </c>
      <c r="I19" s="58">
        <v>2246</v>
      </c>
      <c r="J19" s="58">
        <v>1643</v>
      </c>
      <c r="K19" s="58">
        <v>-808</v>
      </c>
    </row>
    <row r="20" spans="1:11" ht="15" customHeight="1" outlineLevel="2" x14ac:dyDescent="0.25">
      <c r="A20" s="62" t="s">
        <v>185</v>
      </c>
      <c r="B20" s="61">
        <v>-2021</v>
      </c>
      <c r="C20" s="61">
        <v>-2958</v>
      </c>
      <c r="D20" s="61">
        <v>-1692</v>
      </c>
      <c r="E20" s="61">
        <v>-2101</v>
      </c>
      <c r="F20" s="61">
        <v>-1401</v>
      </c>
      <c r="G20" s="61">
        <v>-2883</v>
      </c>
      <c r="H20" s="61">
        <v>-2031</v>
      </c>
      <c r="I20" s="61">
        <v>-3897</v>
      </c>
      <c r="J20" s="61">
        <v>-5558</v>
      </c>
      <c r="K20" s="61">
        <v>-5577</v>
      </c>
    </row>
    <row r="21" spans="1:11" ht="15" customHeight="1" outlineLevel="3" x14ac:dyDescent="0.25">
      <c r="A21" s="56" t="s">
        <v>184</v>
      </c>
      <c r="B21" s="16">
        <v>-591</v>
      </c>
      <c r="C21" s="16">
        <v>-1357</v>
      </c>
      <c r="D21" s="16">
        <v>-1062</v>
      </c>
      <c r="E21" s="16">
        <v>-1351</v>
      </c>
      <c r="F21" s="14">
        <v>162</v>
      </c>
      <c r="G21" s="16">
        <v>-688</v>
      </c>
      <c r="H21" s="16">
        <v>-1000</v>
      </c>
      <c r="I21" s="16">
        <v>-2523</v>
      </c>
      <c r="J21" s="16">
        <v>-3114</v>
      </c>
      <c r="K21" s="16">
        <v>-1437</v>
      </c>
    </row>
    <row r="22" spans="1:11" ht="15" customHeight="1" outlineLevel="3" x14ac:dyDescent="0.25">
      <c r="A22" s="55" t="s">
        <v>183</v>
      </c>
      <c r="B22" s="17">
        <v>-1430</v>
      </c>
      <c r="C22" s="17">
        <v>-1601</v>
      </c>
      <c r="D22" s="17">
        <v>-630</v>
      </c>
      <c r="E22" s="17">
        <v>-750</v>
      </c>
      <c r="F22" s="17">
        <v>-1563</v>
      </c>
      <c r="G22" s="17">
        <v>-2195</v>
      </c>
      <c r="H22" s="17">
        <v>-1031</v>
      </c>
      <c r="I22" s="17">
        <v>-1374</v>
      </c>
      <c r="J22" s="17">
        <v>-2444</v>
      </c>
      <c r="K22" s="17">
        <v>-4140</v>
      </c>
    </row>
    <row r="23" spans="1:11" ht="15" customHeight="1" outlineLevel="2" x14ac:dyDescent="0.25">
      <c r="A23" s="7" t="s">
        <v>182</v>
      </c>
      <c r="B23" s="14">
        <v>2585</v>
      </c>
      <c r="C23" s="14">
        <v>1849</v>
      </c>
      <c r="D23" s="14">
        <v>1284</v>
      </c>
      <c r="E23" s="14">
        <v>1831</v>
      </c>
      <c r="F23" s="14">
        <v>1221</v>
      </c>
      <c r="G23" s="14">
        <v>152</v>
      </c>
      <c r="H23" s="14">
        <v>2701</v>
      </c>
      <c r="I23" s="14">
        <v>4053</v>
      </c>
      <c r="J23" s="14">
        <v>3482</v>
      </c>
      <c r="K23" s="14">
        <v>2503</v>
      </c>
    </row>
    <row r="24" spans="1:11" ht="15" customHeight="1" outlineLevel="2" x14ac:dyDescent="0.25">
      <c r="A24" s="62" t="s">
        <v>181</v>
      </c>
      <c r="B24" s="61">
        <v>1280</v>
      </c>
      <c r="C24" s="60">
        <v>1494</v>
      </c>
      <c r="D24" s="60">
        <v>930</v>
      </c>
      <c r="E24" s="60">
        <v>526</v>
      </c>
      <c r="F24" s="60">
        <v>733</v>
      </c>
      <c r="G24" s="60">
        <v>5348</v>
      </c>
      <c r="H24" s="60">
        <v>1162</v>
      </c>
      <c r="I24" s="60">
        <v>1964</v>
      </c>
      <c r="J24" s="60">
        <v>3516</v>
      </c>
      <c r="K24" s="60">
        <v>2463</v>
      </c>
    </row>
    <row r="25" spans="1:11" ht="15" customHeight="1" outlineLevel="3" x14ac:dyDescent="0.25">
      <c r="A25" s="56" t="s">
        <v>180</v>
      </c>
      <c r="B25" s="14">
        <v>643</v>
      </c>
      <c r="C25" s="6" t="s">
        <v>0</v>
      </c>
      <c r="D25" s="6" t="s">
        <v>0</v>
      </c>
      <c r="E25" s="6" t="s">
        <v>0</v>
      </c>
      <c r="F25" s="6" t="s">
        <v>0</v>
      </c>
      <c r="G25" s="6" t="s">
        <v>0</v>
      </c>
      <c r="H25" s="6" t="s">
        <v>0</v>
      </c>
      <c r="I25" s="6" t="s">
        <v>0</v>
      </c>
      <c r="J25" s="6" t="s">
        <v>0</v>
      </c>
      <c r="K25" s="6" t="s">
        <v>0</v>
      </c>
    </row>
    <row r="26" spans="1:11" ht="15" customHeight="1" outlineLevel="3" x14ac:dyDescent="0.25">
      <c r="A26" s="55" t="s">
        <v>179</v>
      </c>
      <c r="B26" s="13">
        <v>637</v>
      </c>
      <c r="C26" s="8" t="s">
        <v>0</v>
      </c>
      <c r="D26" s="8" t="s">
        <v>0</v>
      </c>
      <c r="E26" s="8" t="s">
        <v>0</v>
      </c>
      <c r="F26" s="8" t="s">
        <v>0</v>
      </c>
      <c r="G26" s="8" t="s">
        <v>0</v>
      </c>
      <c r="H26" s="8" t="s">
        <v>0</v>
      </c>
      <c r="I26" s="8" t="s">
        <v>0</v>
      </c>
      <c r="J26" s="8" t="s">
        <v>0</v>
      </c>
      <c r="K26" s="8" t="s">
        <v>0</v>
      </c>
    </row>
    <row r="27" spans="1:11" ht="15" customHeight="1" outlineLevel="2" x14ac:dyDescent="0.25">
      <c r="A27" s="7" t="s">
        <v>178</v>
      </c>
      <c r="B27" s="14">
        <v>237</v>
      </c>
      <c r="C27" s="16">
        <v>-202</v>
      </c>
      <c r="D27" s="14">
        <v>157</v>
      </c>
      <c r="E27" s="14">
        <v>38</v>
      </c>
      <c r="F27" s="14">
        <v>130</v>
      </c>
      <c r="G27" s="14">
        <v>278</v>
      </c>
      <c r="H27" s="16">
        <v>-310</v>
      </c>
      <c r="I27" s="14">
        <v>126</v>
      </c>
      <c r="J27" s="14">
        <v>203</v>
      </c>
      <c r="K27" s="16">
        <v>-197</v>
      </c>
    </row>
    <row r="28" spans="1:11" ht="15" customHeight="1" x14ac:dyDescent="0.25">
      <c r="A28" s="5" t="s">
        <v>177</v>
      </c>
      <c r="B28" s="60">
        <v>-18395</v>
      </c>
      <c r="C28" s="60">
        <v>-9355</v>
      </c>
      <c r="D28" s="60">
        <v>-8599</v>
      </c>
      <c r="E28" s="60">
        <v>-12385</v>
      </c>
      <c r="F28" s="60">
        <v>-12699</v>
      </c>
      <c r="G28" s="60">
        <v>-12532</v>
      </c>
      <c r="H28" s="60">
        <v>-10372</v>
      </c>
      <c r="I28" s="60">
        <v>-28476</v>
      </c>
      <c r="J28" s="60">
        <v>-15574</v>
      </c>
      <c r="K28" s="60">
        <v>-20527</v>
      </c>
    </row>
    <row r="29" spans="1:11" ht="15" customHeight="1" outlineLevel="1" x14ac:dyDescent="0.25">
      <c r="A29" s="10" t="s">
        <v>176</v>
      </c>
      <c r="B29" s="58">
        <v>-6585</v>
      </c>
      <c r="C29" s="58">
        <v>-13266</v>
      </c>
      <c r="D29" s="58">
        <v>-8942</v>
      </c>
      <c r="E29" s="58">
        <v>-7740</v>
      </c>
      <c r="F29" s="58">
        <v>-11040</v>
      </c>
      <c r="G29" s="58">
        <v>-9325</v>
      </c>
      <c r="H29" s="58">
        <v>-8888</v>
      </c>
      <c r="I29" s="58">
        <v>-12744</v>
      </c>
      <c r="J29" s="58">
        <v>-9084</v>
      </c>
      <c r="K29" s="58">
        <v>-17989</v>
      </c>
    </row>
    <row r="30" spans="1:11" ht="15" customHeight="1" outlineLevel="2" x14ac:dyDescent="0.25">
      <c r="A30" s="9" t="s">
        <v>175</v>
      </c>
      <c r="B30" s="17">
        <v>-9939</v>
      </c>
      <c r="C30" s="17">
        <v>-17547</v>
      </c>
      <c r="D30" s="17">
        <v>-14588</v>
      </c>
      <c r="E30" s="17">
        <v>-14010</v>
      </c>
      <c r="F30" s="17">
        <v>-18131</v>
      </c>
      <c r="G30" s="17">
        <v>-16577</v>
      </c>
      <c r="H30" s="17">
        <v>-17139</v>
      </c>
      <c r="I30" s="17">
        <v>-18825</v>
      </c>
      <c r="J30" s="17">
        <v>-18314</v>
      </c>
      <c r="K30" s="17">
        <v>-27308</v>
      </c>
    </row>
    <row r="31" spans="1:11" ht="15" customHeight="1" outlineLevel="2" x14ac:dyDescent="0.25">
      <c r="A31" s="59" t="s">
        <v>174</v>
      </c>
      <c r="B31" s="57">
        <v>3354</v>
      </c>
      <c r="C31" s="57">
        <v>4281</v>
      </c>
      <c r="D31" s="57">
        <v>5646</v>
      </c>
      <c r="E31" s="57">
        <v>6270</v>
      </c>
      <c r="F31" s="57">
        <v>7091</v>
      </c>
      <c r="G31" s="57">
        <v>7252</v>
      </c>
      <c r="H31" s="57">
        <v>8251</v>
      </c>
      <c r="I31" s="57">
        <v>6081</v>
      </c>
      <c r="J31" s="57">
        <v>9230</v>
      </c>
      <c r="K31" s="57">
        <v>9319</v>
      </c>
    </row>
    <row r="32" spans="1:11" ht="15" customHeight="1" outlineLevel="3" x14ac:dyDescent="0.25">
      <c r="A32" s="55" t="s">
        <v>173</v>
      </c>
      <c r="B32" s="13">
        <v>3354</v>
      </c>
      <c r="C32" s="13">
        <v>4281</v>
      </c>
      <c r="D32" s="13">
        <v>5646</v>
      </c>
      <c r="E32" s="13">
        <v>6270</v>
      </c>
      <c r="F32" s="13">
        <v>7091</v>
      </c>
      <c r="G32" s="13">
        <v>7252</v>
      </c>
      <c r="H32" s="13">
        <v>8251</v>
      </c>
      <c r="I32" s="13">
        <v>6081</v>
      </c>
      <c r="J32" s="13">
        <v>9230</v>
      </c>
      <c r="K32" s="13">
        <v>9319</v>
      </c>
    </row>
    <row r="33" spans="1:11" ht="15" customHeight="1" outlineLevel="1" x14ac:dyDescent="0.25">
      <c r="A33" s="4" t="s">
        <v>172</v>
      </c>
      <c r="B33" s="14">
        <v>6054</v>
      </c>
      <c r="C33" s="14">
        <v>7339</v>
      </c>
      <c r="D33" s="14">
        <v>4623</v>
      </c>
      <c r="E33" s="14">
        <v>3641</v>
      </c>
      <c r="F33" s="14">
        <v>8536</v>
      </c>
      <c r="G33" s="14">
        <v>6489</v>
      </c>
      <c r="H33" s="14">
        <v>7045</v>
      </c>
      <c r="I33" s="14">
        <v>5907</v>
      </c>
      <c r="J33" s="14">
        <v>7307</v>
      </c>
      <c r="K33" s="14">
        <v>18514</v>
      </c>
    </row>
    <row r="34" spans="1:11" ht="15" customHeight="1" outlineLevel="1" x14ac:dyDescent="0.25">
      <c r="A34" s="11" t="s">
        <v>171</v>
      </c>
      <c r="B34" s="61">
        <v>-16308</v>
      </c>
      <c r="C34" s="61">
        <v>-1723</v>
      </c>
      <c r="D34" s="61">
        <v>-2257</v>
      </c>
      <c r="E34" s="61">
        <v>-6223</v>
      </c>
      <c r="F34" s="61">
        <v>-8124</v>
      </c>
      <c r="G34" s="61">
        <v>-7645</v>
      </c>
      <c r="H34" s="61">
        <v>-6075</v>
      </c>
      <c r="I34" s="61">
        <v>-18837</v>
      </c>
      <c r="J34" s="61">
        <v>-10411</v>
      </c>
      <c r="K34" s="61">
        <v>-17553</v>
      </c>
    </row>
    <row r="35" spans="1:11" ht="15" customHeight="1" outlineLevel="2" x14ac:dyDescent="0.25">
      <c r="A35" s="7" t="s">
        <v>170</v>
      </c>
      <c r="B35" s="16">
        <v>-16164</v>
      </c>
      <c r="C35" s="16">
        <v>-1760</v>
      </c>
      <c r="D35" s="16">
        <v>-2131</v>
      </c>
      <c r="E35" s="16">
        <v>-5997</v>
      </c>
      <c r="F35" s="16">
        <v>-8343</v>
      </c>
      <c r="G35" s="16">
        <v>-7139</v>
      </c>
      <c r="H35" s="16">
        <v>-4821</v>
      </c>
      <c r="I35" s="16">
        <v>-21458</v>
      </c>
      <c r="J35" s="16">
        <v>-10136</v>
      </c>
      <c r="K35" s="16">
        <v>-13408</v>
      </c>
    </row>
    <row r="36" spans="1:11" ht="15" customHeight="1" outlineLevel="2" x14ac:dyDescent="0.25">
      <c r="A36" s="9" t="s">
        <v>169</v>
      </c>
      <c r="B36" s="8" t="s">
        <v>0</v>
      </c>
      <c r="C36" s="8" t="s">
        <v>0</v>
      </c>
      <c r="D36" s="8" t="s">
        <v>0</v>
      </c>
      <c r="E36" s="8" t="s">
        <v>0</v>
      </c>
      <c r="F36" s="8" t="s">
        <v>0</v>
      </c>
      <c r="G36" s="8" t="s">
        <v>0</v>
      </c>
      <c r="H36" s="8" t="s">
        <v>0</v>
      </c>
      <c r="I36" s="8" t="s">
        <v>0</v>
      </c>
      <c r="J36" s="8" t="s">
        <v>0</v>
      </c>
      <c r="K36" s="17">
        <v>-9033</v>
      </c>
    </row>
    <row r="37" spans="1:11" ht="15" customHeight="1" outlineLevel="2" x14ac:dyDescent="0.25">
      <c r="A37" s="7" t="s">
        <v>168</v>
      </c>
      <c r="B37" s="6" t="s">
        <v>0</v>
      </c>
      <c r="C37" s="6" t="s">
        <v>0</v>
      </c>
      <c r="D37" s="6" t="s">
        <v>0</v>
      </c>
      <c r="E37" s="6" t="s">
        <v>0</v>
      </c>
      <c r="F37" s="6" t="s">
        <v>0</v>
      </c>
      <c r="G37" s="6" t="s">
        <v>0</v>
      </c>
      <c r="H37" s="6" t="s">
        <v>0</v>
      </c>
      <c r="I37" s="6" t="s">
        <v>0</v>
      </c>
      <c r="J37" s="6" t="s">
        <v>0</v>
      </c>
      <c r="K37" s="14">
        <v>4514</v>
      </c>
    </row>
    <row r="38" spans="1:11" ht="15" customHeight="1" outlineLevel="2" x14ac:dyDescent="0.25">
      <c r="A38" s="9" t="s">
        <v>163</v>
      </c>
      <c r="B38" s="8" t="s">
        <v>0</v>
      </c>
      <c r="C38" s="8" t="s">
        <v>0</v>
      </c>
      <c r="D38" s="8" t="s">
        <v>0</v>
      </c>
      <c r="E38" s="8" t="s">
        <v>0</v>
      </c>
      <c r="F38" s="8" t="s">
        <v>0</v>
      </c>
      <c r="G38" s="8" t="s">
        <v>0</v>
      </c>
      <c r="H38" s="8" t="s">
        <v>0</v>
      </c>
      <c r="I38" s="8" t="s">
        <v>0</v>
      </c>
      <c r="J38" s="8" t="s">
        <v>0</v>
      </c>
      <c r="K38" s="8" t="s">
        <v>0</v>
      </c>
    </row>
    <row r="39" spans="1:11" ht="15" customHeight="1" outlineLevel="2" x14ac:dyDescent="0.25">
      <c r="A39" s="59" t="s">
        <v>158</v>
      </c>
      <c r="B39" s="57">
        <v>-144</v>
      </c>
      <c r="C39" s="57">
        <v>37</v>
      </c>
      <c r="D39" s="57">
        <v>-126</v>
      </c>
      <c r="E39" s="57">
        <v>-226</v>
      </c>
      <c r="F39" s="57">
        <v>219</v>
      </c>
      <c r="G39" s="57">
        <v>-506</v>
      </c>
      <c r="H39" s="57">
        <v>-1254</v>
      </c>
      <c r="I39" s="58">
        <v>2621</v>
      </c>
      <c r="J39" s="58">
        <v>-275</v>
      </c>
      <c r="K39" s="58">
        <v>374</v>
      </c>
    </row>
    <row r="40" spans="1:11" ht="15" customHeight="1" outlineLevel="3" x14ac:dyDescent="0.25">
      <c r="A40" s="55" t="s">
        <v>167</v>
      </c>
      <c r="B40" s="8" t="s">
        <v>0</v>
      </c>
      <c r="C40" s="8" t="s">
        <v>0</v>
      </c>
      <c r="D40" s="8" t="s">
        <v>0</v>
      </c>
      <c r="E40" s="8" t="s">
        <v>0</v>
      </c>
      <c r="F40" s="8" t="s">
        <v>0</v>
      </c>
      <c r="G40" s="8" t="s">
        <v>0</v>
      </c>
      <c r="H40" s="8" t="s">
        <v>0</v>
      </c>
      <c r="I40" s="13">
        <v>3414</v>
      </c>
      <c r="J40" s="13">
        <v>685</v>
      </c>
      <c r="K40" s="13">
        <v>2041</v>
      </c>
    </row>
    <row r="41" spans="1:11" ht="15" customHeight="1" outlineLevel="3" x14ac:dyDescent="0.25">
      <c r="A41" s="56" t="s">
        <v>166</v>
      </c>
      <c r="B41" s="16">
        <v>-144</v>
      </c>
      <c r="C41" s="14">
        <v>37</v>
      </c>
      <c r="D41" s="16">
        <v>-126</v>
      </c>
      <c r="E41" s="16">
        <v>-226</v>
      </c>
      <c r="F41" s="14">
        <v>219</v>
      </c>
      <c r="G41" s="6" t="s">
        <v>0</v>
      </c>
      <c r="H41" s="6" t="s">
        <v>0</v>
      </c>
      <c r="I41" s="16">
        <v>-793</v>
      </c>
      <c r="J41" s="16">
        <v>-960</v>
      </c>
      <c r="K41" s="16">
        <v>-1667</v>
      </c>
    </row>
    <row r="42" spans="1:11" ht="15" customHeight="1" outlineLevel="1" x14ac:dyDescent="0.25">
      <c r="A42" s="11" t="s">
        <v>165</v>
      </c>
      <c r="B42" s="60">
        <v>-1556</v>
      </c>
      <c r="C42" s="60">
        <v>-1705</v>
      </c>
      <c r="D42" s="60">
        <v>-2023</v>
      </c>
      <c r="E42" s="60">
        <v>-2063</v>
      </c>
      <c r="F42" s="60">
        <v>-2071</v>
      </c>
      <c r="G42" s="60">
        <v>-2051</v>
      </c>
      <c r="H42" s="60">
        <v>-2454</v>
      </c>
      <c r="I42" s="60">
        <v>-2802</v>
      </c>
      <c r="J42" s="60">
        <v>-3386</v>
      </c>
      <c r="K42" s="60">
        <v>-3499</v>
      </c>
    </row>
    <row r="43" spans="1:11" ht="15" customHeight="1" outlineLevel="2" x14ac:dyDescent="0.25">
      <c r="A43" s="7" t="s">
        <v>164</v>
      </c>
      <c r="B43" s="6" t="s">
        <v>0</v>
      </c>
      <c r="C43" s="6" t="s">
        <v>0</v>
      </c>
      <c r="D43" s="6" t="s">
        <v>0</v>
      </c>
      <c r="E43" s="6" t="s">
        <v>0</v>
      </c>
      <c r="F43" s="6" t="s">
        <v>0</v>
      </c>
      <c r="G43" s="6" t="s">
        <v>0</v>
      </c>
      <c r="H43" s="6" t="s">
        <v>0</v>
      </c>
      <c r="I43" s="6" t="s">
        <v>0</v>
      </c>
      <c r="J43" s="6" t="s">
        <v>0</v>
      </c>
      <c r="K43" s="6" t="s">
        <v>0</v>
      </c>
    </row>
    <row r="44" spans="1:11" ht="15" customHeight="1" outlineLevel="2" x14ac:dyDescent="0.25">
      <c r="A44" s="9" t="s">
        <v>163</v>
      </c>
      <c r="B44" s="8" t="s">
        <v>0</v>
      </c>
      <c r="C44" s="8" t="s">
        <v>0</v>
      </c>
      <c r="D44" s="8" t="s">
        <v>0</v>
      </c>
      <c r="E44" s="8" t="s">
        <v>0</v>
      </c>
      <c r="F44" s="8" t="s">
        <v>0</v>
      </c>
      <c r="G44" s="8" t="s">
        <v>0</v>
      </c>
      <c r="H44" s="8" t="s">
        <v>0</v>
      </c>
      <c r="I44" s="8" t="s">
        <v>0</v>
      </c>
      <c r="J44" s="8" t="s">
        <v>0</v>
      </c>
      <c r="K44" s="8" t="s">
        <v>0</v>
      </c>
    </row>
    <row r="45" spans="1:11" ht="15" customHeight="1" outlineLevel="1" x14ac:dyDescent="0.25">
      <c r="A45" s="4" t="s">
        <v>162</v>
      </c>
      <c r="B45" s="6" t="s">
        <v>0</v>
      </c>
      <c r="C45" s="6" t="s">
        <v>0</v>
      </c>
      <c r="D45" s="6" t="s">
        <v>0</v>
      </c>
      <c r="E45" s="6" t="s">
        <v>0</v>
      </c>
      <c r="F45" s="6" t="s">
        <v>0</v>
      </c>
      <c r="G45" s="6" t="s">
        <v>0</v>
      </c>
      <c r="H45" s="6" t="s">
        <v>0</v>
      </c>
      <c r="I45" s="6" t="s">
        <v>0</v>
      </c>
      <c r="J45" s="6" t="s">
        <v>0</v>
      </c>
      <c r="K45" s="6" t="s">
        <v>0</v>
      </c>
    </row>
    <row r="46" spans="1:11" ht="15" customHeight="1" x14ac:dyDescent="0.25">
      <c r="A46" s="5" t="s">
        <v>161</v>
      </c>
      <c r="B46" s="60">
        <v>12239</v>
      </c>
      <c r="C46" s="60">
        <v>-1011</v>
      </c>
      <c r="D46" s="60">
        <v>-3441</v>
      </c>
      <c r="E46" s="60">
        <v>-4365</v>
      </c>
      <c r="F46" s="60">
        <v>-5625</v>
      </c>
      <c r="G46" s="60">
        <v>-3590</v>
      </c>
      <c r="H46" s="60">
        <v>-7455</v>
      </c>
      <c r="I46" s="60">
        <v>4226</v>
      </c>
      <c r="J46" s="60">
        <v>-11529</v>
      </c>
      <c r="K46" s="60">
        <v>-3512</v>
      </c>
    </row>
    <row r="47" spans="1:11" ht="15" customHeight="1" outlineLevel="1" x14ac:dyDescent="0.25">
      <c r="A47" s="4" t="s">
        <v>160</v>
      </c>
      <c r="B47" s="16">
        <v>-1200</v>
      </c>
      <c r="C47" s="16">
        <v>-1280</v>
      </c>
      <c r="D47" s="16">
        <v>-1500</v>
      </c>
      <c r="E47" s="16">
        <v>-4500</v>
      </c>
      <c r="F47" s="16">
        <v>-5500</v>
      </c>
      <c r="G47" s="16">
        <v>-4250</v>
      </c>
      <c r="H47" s="16">
        <v>-5000</v>
      </c>
      <c r="I47" s="16">
        <v>-7000</v>
      </c>
      <c r="J47" s="16">
        <v>-8000</v>
      </c>
      <c r="K47" s="16">
        <v>-9000</v>
      </c>
    </row>
    <row r="48" spans="1:11" ht="15" customHeight="1" outlineLevel="1" x14ac:dyDescent="0.25">
      <c r="A48" s="3" t="s">
        <v>159</v>
      </c>
      <c r="B48" s="17">
        <v>-1786</v>
      </c>
      <c r="C48" s="17">
        <v>-2261</v>
      </c>
      <c r="D48" s="17">
        <v>-2773</v>
      </c>
      <c r="E48" s="17">
        <v>-3320</v>
      </c>
      <c r="F48" s="17">
        <v>-3932</v>
      </c>
      <c r="G48" s="17">
        <v>-4584</v>
      </c>
      <c r="H48" s="17">
        <v>-5280</v>
      </c>
      <c r="I48" s="17">
        <v>-5991</v>
      </c>
      <c r="J48" s="17">
        <v>-6761</v>
      </c>
      <c r="K48" s="17">
        <v>-7533</v>
      </c>
    </row>
    <row r="49" spans="1:11" ht="15" customHeight="1" outlineLevel="1" x14ac:dyDescent="0.25">
      <c r="A49" s="10" t="s">
        <v>158</v>
      </c>
      <c r="B49" s="58">
        <v>618</v>
      </c>
      <c r="C49" s="58">
        <v>1540</v>
      </c>
      <c r="D49" s="58">
        <v>3447</v>
      </c>
      <c r="E49" s="58">
        <v>-679</v>
      </c>
      <c r="F49" s="58">
        <v>-187</v>
      </c>
      <c r="G49" s="58">
        <v>2658</v>
      </c>
      <c r="H49" s="58">
        <v>344</v>
      </c>
      <c r="I49" s="58">
        <v>4681</v>
      </c>
      <c r="J49" s="58">
        <v>-1048</v>
      </c>
      <c r="K49" s="58">
        <v>-1639</v>
      </c>
    </row>
    <row r="50" spans="1:11" ht="15" customHeight="1" outlineLevel="2" x14ac:dyDescent="0.25">
      <c r="A50" s="9" t="s">
        <v>157</v>
      </c>
      <c r="B50" s="13">
        <v>402</v>
      </c>
      <c r="C50" s="13">
        <v>429</v>
      </c>
      <c r="D50" s="13">
        <v>688</v>
      </c>
      <c r="E50" s="13">
        <v>838</v>
      </c>
      <c r="F50" s="13">
        <v>1037</v>
      </c>
      <c r="G50" s="13">
        <v>1440</v>
      </c>
      <c r="H50" s="13">
        <v>1355</v>
      </c>
      <c r="I50" s="13">
        <v>1253</v>
      </c>
      <c r="J50" s="13">
        <v>1353</v>
      </c>
      <c r="K50" s="13">
        <v>1846</v>
      </c>
    </row>
    <row r="51" spans="1:11" ht="15" customHeight="1" outlineLevel="2" x14ac:dyDescent="0.25">
      <c r="A51" s="7" t="s">
        <v>156</v>
      </c>
      <c r="B51" s="14">
        <v>768</v>
      </c>
      <c r="C51" s="14">
        <v>1692</v>
      </c>
      <c r="D51" s="14">
        <v>3172</v>
      </c>
      <c r="E51" s="16">
        <v>-131</v>
      </c>
      <c r="F51" s="14">
        <v>13</v>
      </c>
      <c r="G51" s="14">
        <v>1677</v>
      </c>
      <c r="H51" s="14">
        <v>622</v>
      </c>
      <c r="I51" s="14">
        <v>5548</v>
      </c>
      <c r="J51" s="16">
        <v>-521</v>
      </c>
      <c r="K51" s="16">
        <v>-1560</v>
      </c>
    </row>
    <row r="52" spans="1:11" ht="15" customHeight="1" outlineLevel="2" x14ac:dyDescent="0.25">
      <c r="A52" s="9" t="s">
        <v>152</v>
      </c>
      <c r="B52" s="17">
        <v>-118</v>
      </c>
      <c r="C52" s="17">
        <v>-257</v>
      </c>
      <c r="D52" s="8" t="s">
        <v>0</v>
      </c>
      <c r="E52" s="8" t="s">
        <v>0</v>
      </c>
      <c r="F52" s="8" t="s">
        <v>0</v>
      </c>
      <c r="G52" s="8" t="s">
        <v>0</v>
      </c>
      <c r="H52" s="8" t="s">
        <v>0</v>
      </c>
      <c r="I52" s="8" t="s">
        <v>0</v>
      </c>
      <c r="J52" s="8" t="s">
        <v>0</v>
      </c>
      <c r="K52" s="8" t="s">
        <v>0</v>
      </c>
    </row>
    <row r="53" spans="1:11" ht="15" customHeight="1" outlineLevel="2" x14ac:dyDescent="0.25">
      <c r="A53" s="59" t="s">
        <v>155</v>
      </c>
      <c r="B53" s="57">
        <v>-434</v>
      </c>
      <c r="C53" s="57">
        <v>-324</v>
      </c>
      <c r="D53" s="57">
        <v>-413</v>
      </c>
      <c r="E53" s="57">
        <v>-1386</v>
      </c>
      <c r="F53" s="57">
        <v>-1237</v>
      </c>
      <c r="G53" s="57">
        <v>-459</v>
      </c>
      <c r="H53" s="58">
        <v>-1633</v>
      </c>
      <c r="I53" s="58">
        <v>-2120</v>
      </c>
      <c r="J53" s="58">
        <v>-1880</v>
      </c>
      <c r="K53" s="58">
        <v>-1925</v>
      </c>
    </row>
    <row r="54" spans="1:11" ht="15" customHeight="1" outlineLevel="3" x14ac:dyDescent="0.25">
      <c r="A54" s="55" t="s">
        <v>154</v>
      </c>
      <c r="B54" s="8" t="s">
        <v>0</v>
      </c>
      <c r="C54" s="8" t="s">
        <v>0</v>
      </c>
      <c r="D54" s="8" t="s">
        <v>0</v>
      </c>
      <c r="E54" s="8" t="s">
        <v>0</v>
      </c>
      <c r="F54" s="8" t="s">
        <v>0</v>
      </c>
      <c r="G54" s="8" t="s">
        <v>0</v>
      </c>
      <c r="H54" s="8" t="s">
        <v>0</v>
      </c>
      <c r="I54" s="8" t="s">
        <v>0</v>
      </c>
      <c r="J54" s="8" t="s">
        <v>0</v>
      </c>
      <c r="K54" s="8" t="s">
        <v>0</v>
      </c>
    </row>
    <row r="55" spans="1:11" ht="15" customHeight="1" outlineLevel="3" x14ac:dyDescent="0.25">
      <c r="A55" s="56" t="s">
        <v>153</v>
      </c>
      <c r="B55" s="6" t="s">
        <v>0</v>
      </c>
      <c r="C55" s="6" t="s">
        <v>0</v>
      </c>
      <c r="D55" s="6" t="s">
        <v>0</v>
      </c>
      <c r="E55" s="6" t="s">
        <v>0</v>
      </c>
      <c r="F55" s="6" t="s">
        <v>0</v>
      </c>
      <c r="G55" s="6" t="s">
        <v>0</v>
      </c>
      <c r="H55" s="6" t="s">
        <v>0</v>
      </c>
      <c r="I55" s="6" t="s">
        <v>0</v>
      </c>
      <c r="J55" s="6" t="s">
        <v>0</v>
      </c>
      <c r="K55" s="6" t="s">
        <v>0</v>
      </c>
    </row>
    <row r="56" spans="1:11" ht="15" customHeight="1" outlineLevel="3" x14ac:dyDescent="0.25">
      <c r="A56" s="55" t="s">
        <v>152</v>
      </c>
      <c r="B56" s="8" t="s">
        <v>0</v>
      </c>
      <c r="C56" s="8" t="s">
        <v>0</v>
      </c>
      <c r="D56" s="8" t="s">
        <v>0</v>
      </c>
      <c r="E56" s="8" t="s">
        <v>0</v>
      </c>
      <c r="F56" s="8" t="s">
        <v>0</v>
      </c>
      <c r="G56" s="8" t="s">
        <v>0</v>
      </c>
      <c r="H56" s="17">
        <v>-1338</v>
      </c>
      <c r="I56" s="17">
        <v>-176</v>
      </c>
      <c r="J56" s="17">
        <v>-730</v>
      </c>
      <c r="K56" s="17">
        <v>-280</v>
      </c>
    </row>
    <row r="57" spans="1:11" ht="15" customHeight="1" outlineLevel="3" x14ac:dyDescent="0.25">
      <c r="A57" s="114" t="s">
        <v>151</v>
      </c>
      <c r="B57" s="12" t="s">
        <v>0</v>
      </c>
      <c r="C57" s="12" t="s">
        <v>0</v>
      </c>
      <c r="D57" s="12" t="s">
        <v>0</v>
      </c>
      <c r="E57" s="12" t="s">
        <v>0</v>
      </c>
      <c r="F57" s="12" t="s">
        <v>0</v>
      </c>
      <c r="G57" s="12" t="s">
        <v>0</v>
      </c>
      <c r="H57" s="57">
        <v>-295</v>
      </c>
      <c r="I57" s="57">
        <v>-1944</v>
      </c>
      <c r="J57" s="57">
        <v>-1150</v>
      </c>
      <c r="K57" s="57">
        <v>-1645</v>
      </c>
    </row>
    <row r="58" spans="1:11" ht="15" customHeight="1" outlineLevel="4" x14ac:dyDescent="0.25">
      <c r="A58" s="113" t="s">
        <v>150</v>
      </c>
      <c r="B58" s="8" t="s">
        <v>0</v>
      </c>
      <c r="C58" s="8" t="s">
        <v>0</v>
      </c>
      <c r="D58" s="8" t="s">
        <v>0</v>
      </c>
      <c r="E58" s="8" t="s">
        <v>0</v>
      </c>
      <c r="F58" s="8" t="s">
        <v>0</v>
      </c>
      <c r="G58" s="8" t="s">
        <v>0</v>
      </c>
      <c r="H58" s="8" t="s">
        <v>0</v>
      </c>
      <c r="I58" s="8" t="s">
        <v>0</v>
      </c>
      <c r="J58" s="8" t="s">
        <v>0</v>
      </c>
      <c r="K58" s="8" t="s">
        <v>0</v>
      </c>
    </row>
    <row r="59" spans="1:11" ht="15" customHeight="1" outlineLevel="4" x14ac:dyDescent="0.25">
      <c r="A59" s="112" t="s">
        <v>149</v>
      </c>
      <c r="B59" s="6" t="s">
        <v>0</v>
      </c>
      <c r="C59" s="6" t="s">
        <v>0</v>
      </c>
      <c r="D59" s="6" t="s">
        <v>0</v>
      </c>
      <c r="E59" s="6" t="s">
        <v>0</v>
      </c>
      <c r="F59" s="6" t="s">
        <v>0</v>
      </c>
      <c r="G59" s="6" t="s">
        <v>0</v>
      </c>
      <c r="H59" s="6" t="s">
        <v>0</v>
      </c>
      <c r="I59" s="6" t="s">
        <v>0</v>
      </c>
      <c r="J59" s="6" t="s">
        <v>0</v>
      </c>
      <c r="K59" s="6" t="s">
        <v>0</v>
      </c>
    </row>
    <row r="60" spans="1:11" ht="15" customHeight="1" outlineLevel="1" x14ac:dyDescent="0.25">
      <c r="A60" s="3" t="s">
        <v>148</v>
      </c>
      <c r="B60" s="8" t="s">
        <v>0</v>
      </c>
      <c r="C60" s="8" t="s">
        <v>0</v>
      </c>
      <c r="D60" s="8" t="s">
        <v>0</v>
      </c>
      <c r="E60" s="8" t="s">
        <v>0</v>
      </c>
      <c r="F60" s="8" t="s">
        <v>0</v>
      </c>
      <c r="G60" s="8" t="s">
        <v>0</v>
      </c>
      <c r="H60" s="8" t="s">
        <v>0</v>
      </c>
      <c r="I60" s="8" t="s">
        <v>0</v>
      </c>
      <c r="J60" s="8" t="s">
        <v>0</v>
      </c>
      <c r="K60" s="8" t="s">
        <v>0</v>
      </c>
    </row>
    <row r="61" spans="1:11" ht="15" customHeight="1" outlineLevel="1" x14ac:dyDescent="0.25">
      <c r="A61" s="10" t="s">
        <v>147</v>
      </c>
      <c r="B61" s="58">
        <v>14607</v>
      </c>
      <c r="C61" s="58">
        <v>990</v>
      </c>
      <c r="D61" s="58">
        <v>-2615</v>
      </c>
      <c r="E61" s="58">
        <v>4134</v>
      </c>
      <c r="F61" s="58">
        <v>3994</v>
      </c>
      <c r="G61" s="58">
        <v>2586</v>
      </c>
      <c r="H61" s="58">
        <v>2481</v>
      </c>
      <c r="I61" s="58">
        <v>12536</v>
      </c>
      <c r="J61" s="58">
        <v>4280</v>
      </c>
      <c r="K61" s="58">
        <v>14660</v>
      </c>
    </row>
    <row r="62" spans="1:11" ht="15" customHeight="1" outlineLevel="2" x14ac:dyDescent="0.25">
      <c r="A62" s="9" t="s">
        <v>146</v>
      </c>
      <c r="B62" s="17">
        <v>-1041</v>
      </c>
      <c r="C62" s="17">
        <v>-2596</v>
      </c>
      <c r="D62" s="17">
        <v>-4398</v>
      </c>
      <c r="E62" s="17">
        <v>-2600</v>
      </c>
      <c r="F62" s="17">
        <v>-1750</v>
      </c>
      <c r="G62" s="17">
        <v>-3150</v>
      </c>
      <c r="H62" s="17">
        <v>-3150</v>
      </c>
      <c r="I62" s="17">
        <v>-3015</v>
      </c>
      <c r="J62" s="17">
        <v>-2125</v>
      </c>
      <c r="K62" s="17">
        <v>-3000</v>
      </c>
    </row>
    <row r="63" spans="1:11" ht="15" customHeight="1" outlineLevel="2" x14ac:dyDescent="0.25">
      <c r="A63" s="7" t="s">
        <v>145</v>
      </c>
      <c r="B63" s="14">
        <v>3666</v>
      </c>
      <c r="C63" s="16">
        <v>-382</v>
      </c>
      <c r="D63" s="16">
        <v>-3508</v>
      </c>
      <c r="E63" s="16">
        <v>-201</v>
      </c>
      <c r="F63" s="14">
        <v>300</v>
      </c>
      <c r="G63" s="14">
        <v>872</v>
      </c>
      <c r="H63" s="16">
        <v>-1302</v>
      </c>
      <c r="I63" s="14">
        <v>732</v>
      </c>
      <c r="J63" s="14">
        <v>11</v>
      </c>
      <c r="K63" s="16">
        <v>-151</v>
      </c>
    </row>
    <row r="64" spans="1:11" ht="15" customHeight="1" outlineLevel="2" x14ac:dyDescent="0.25">
      <c r="A64" s="9" t="s">
        <v>144</v>
      </c>
      <c r="B64" s="13">
        <v>11982</v>
      </c>
      <c r="C64" s="13">
        <v>3968</v>
      </c>
      <c r="D64" s="13">
        <v>5291</v>
      </c>
      <c r="E64" s="13">
        <v>6935</v>
      </c>
      <c r="F64" s="13">
        <v>5444</v>
      </c>
      <c r="G64" s="13">
        <v>4864</v>
      </c>
      <c r="H64" s="13">
        <v>6933</v>
      </c>
      <c r="I64" s="13">
        <v>14819</v>
      </c>
      <c r="J64" s="13">
        <v>6394</v>
      </c>
      <c r="K64" s="13">
        <v>17811</v>
      </c>
    </row>
    <row r="65" spans="1:11" ht="15" customHeight="1" outlineLevel="1" x14ac:dyDescent="0.25">
      <c r="A65" s="4" t="s">
        <v>143</v>
      </c>
      <c r="B65" s="6" t="s">
        <v>0</v>
      </c>
      <c r="C65" s="6" t="s">
        <v>0</v>
      </c>
      <c r="D65" s="6" t="s">
        <v>0</v>
      </c>
      <c r="E65" s="6" t="s">
        <v>0</v>
      </c>
      <c r="F65" s="6" t="s">
        <v>0</v>
      </c>
      <c r="G65" s="6" t="s">
        <v>0</v>
      </c>
      <c r="H65" s="6" t="s">
        <v>0</v>
      </c>
      <c r="I65" s="6" t="s">
        <v>0</v>
      </c>
      <c r="J65" s="6" t="s">
        <v>0</v>
      </c>
      <c r="K65" s="6" t="s">
        <v>0</v>
      </c>
    </row>
    <row r="66" spans="1:11" ht="15" customHeight="1" x14ac:dyDescent="0.25">
      <c r="A66" s="8" t="s">
        <v>142</v>
      </c>
      <c r="B66" s="17">
        <v>-156</v>
      </c>
      <c r="C66" s="13">
        <v>78</v>
      </c>
      <c r="D66" s="17">
        <v>-5</v>
      </c>
      <c r="E66" s="17">
        <v>-78</v>
      </c>
      <c r="F66" s="17">
        <v>-20</v>
      </c>
      <c r="G66" s="17">
        <v>-116</v>
      </c>
      <c r="H66" s="17">
        <v>-62</v>
      </c>
      <c r="I66" s="13">
        <v>34</v>
      </c>
      <c r="J66" s="13">
        <v>97</v>
      </c>
      <c r="K66" s="17">
        <v>-61</v>
      </c>
    </row>
    <row r="67" spans="1:11" ht="15" customHeight="1" x14ac:dyDescent="0.25">
      <c r="A67" s="6" t="s">
        <v>141</v>
      </c>
      <c r="B67" s="14">
        <v>3428</v>
      </c>
      <c r="C67" s="16">
        <v>-493</v>
      </c>
      <c r="D67" s="14">
        <v>1551</v>
      </c>
      <c r="E67" s="16">
        <v>-1115</v>
      </c>
      <c r="F67" s="14">
        <v>119</v>
      </c>
      <c r="G67" s="14">
        <v>5936</v>
      </c>
      <c r="H67" s="14">
        <v>4454</v>
      </c>
      <c r="I67" s="14">
        <v>1990</v>
      </c>
      <c r="J67" s="14">
        <v>2062</v>
      </c>
      <c r="K67" s="14">
        <v>104</v>
      </c>
    </row>
    <row r="68" spans="1:11" ht="15" customHeight="1" x14ac:dyDescent="0.25">
      <c r="A68" s="8" t="s">
        <v>140</v>
      </c>
      <c r="B68" s="8" t="s">
        <v>0</v>
      </c>
      <c r="C68" s="8" t="s">
        <v>0</v>
      </c>
      <c r="D68" s="8" t="s">
        <v>0</v>
      </c>
      <c r="E68" s="8" t="s">
        <v>0</v>
      </c>
      <c r="F68" s="8" t="s">
        <v>0</v>
      </c>
      <c r="G68" s="8" t="s">
        <v>0</v>
      </c>
      <c r="H68" s="8" t="s">
        <v>0</v>
      </c>
      <c r="I68" s="8" t="s">
        <v>0</v>
      </c>
      <c r="J68" s="8" t="s">
        <v>0</v>
      </c>
      <c r="K68" s="17">
        <v>-219</v>
      </c>
    </row>
    <row r="69" spans="1:11" ht="15" customHeight="1" x14ac:dyDescent="0.25">
      <c r="A69" s="6" t="s">
        <v>139</v>
      </c>
      <c r="B69" s="14">
        <v>3428</v>
      </c>
      <c r="C69" s="16">
        <v>-493</v>
      </c>
      <c r="D69" s="14">
        <v>1551</v>
      </c>
      <c r="E69" s="16">
        <v>-1115</v>
      </c>
      <c r="F69" s="14">
        <v>119</v>
      </c>
      <c r="G69" s="14">
        <v>5936</v>
      </c>
      <c r="H69" s="14">
        <v>4454</v>
      </c>
      <c r="I69" s="14">
        <v>1990</v>
      </c>
      <c r="J69" s="14">
        <v>2062</v>
      </c>
      <c r="K69" s="16">
        <v>-115</v>
      </c>
    </row>
    <row r="70" spans="1:11" ht="15" customHeight="1" x14ac:dyDescent="0.25">
      <c r="A70" s="8" t="s">
        <v>138</v>
      </c>
      <c r="B70" s="13">
        <v>7495</v>
      </c>
      <c r="C70" s="13">
        <v>10923</v>
      </c>
      <c r="D70" s="13">
        <v>10430</v>
      </c>
      <c r="E70" s="13">
        <v>11981</v>
      </c>
      <c r="F70" s="13">
        <v>10866</v>
      </c>
      <c r="G70" s="13">
        <v>10985</v>
      </c>
      <c r="H70" s="13">
        <v>16921</v>
      </c>
      <c r="I70" s="13">
        <v>21375</v>
      </c>
      <c r="J70" s="13">
        <v>23365</v>
      </c>
      <c r="K70" s="13">
        <v>25427</v>
      </c>
    </row>
    <row r="71" spans="1:11" ht="15" customHeight="1" x14ac:dyDescent="0.25">
      <c r="A71" s="6" t="s">
        <v>137</v>
      </c>
      <c r="B71" s="14">
        <v>10923</v>
      </c>
      <c r="C71" s="14">
        <v>10430</v>
      </c>
      <c r="D71" s="14">
        <v>11981</v>
      </c>
      <c r="E71" s="14">
        <v>10866</v>
      </c>
      <c r="F71" s="14">
        <v>10985</v>
      </c>
      <c r="G71" s="14">
        <v>16921</v>
      </c>
      <c r="H71" s="14">
        <v>21375</v>
      </c>
      <c r="I71" s="14">
        <v>23365</v>
      </c>
      <c r="J71" s="14">
        <v>25427</v>
      </c>
      <c r="K71" s="14">
        <v>25312</v>
      </c>
    </row>
    <row r="72" spans="1:11" ht="15" customHeight="1" x14ac:dyDescent="0.25">
      <c r="A72" s="5" t="s">
        <v>30</v>
      </c>
      <c r="B72" s="5"/>
      <c r="C72" s="5"/>
      <c r="D72" s="5"/>
      <c r="E72" s="5"/>
      <c r="F72" s="5"/>
      <c r="G72" s="5"/>
      <c r="H72" s="5"/>
      <c r="I72" s="5"/>
      <c r="J72" s="5"/>
      <c r="K72" s="5"/>
    </row>
    <row r="73" spans="1:11" ht="15" customHeight="1" outlineLevel="1" x14ac:dyDescent="0.25">
      <c r="A73" s="4" t="s">
        <v>136</v>
      </c>
      <c r="B73" s="16">
        <v>-639</v>
      </c>
      <c r="C73" s="16">
        <v>-1055</v>
      </c>
      <c r="D73" s="16">
        <v>-1133</v>
      </c>
      <c r="E73" s="16">
        <v>-1410</v>
      </c>
      <c r="F73" s="16">
        <v>-1627</v>
      </c>
      <c r="G73" s="16">
        <v>-1704</v>
      </c>
      <c r="H73" s="16">
        <v>-1653</v>
      </c>
      <c r="I73" s="16">
        <v>-1945</v>
      </c>
      <c r="J73" s="16">
        <v>-3035</v>
      </c>
      <c r="K73" s="16">
        <v>-3594</v>
      </c>
    </row>
    <row r="74" spans="1:11" ht="15" customHeight="1" outlineLevel="1" x14ac:dyDescent="0.25">
      <c r="A74" s="3" t="s">
        <v>135</v>
      </c>
      <c r="B74" s="17">
        <v>-4401</v>
      </c>
      <c r="C74" s="17">
        <v>-4726</v>
      </c>
      <c r="D74" s="17">
        <v>-4004</v>
      </c>
      <c r="E74" s="17">
        <v>-3257</v>
      </c>
      <c r="F74" s="17">
        <v>-3542</v>
      </c>
      <c r="G74" s="17">
        <v>-4935</v>
      </c>
      <c r="H74" s="17">
        <v>-3966</v>
      </c>
      <c r="I74" s="17">
        <v>-5222</v>
      </c>
      <c r="J74" s="17">
        <v>-6078</v>
      </c>
      <c r="K74" s="17">
        <v>-4620</v>
      </c>
    </row>
    <row r="75" spans="1:11" ht="15" customHeight="1" outlineLevel="1" x14ac:dyDescent="0.25">
      <c r="A75" s="10" t="s">
        <v>134</v>
      </c>
      <c r="B75" s="12"/>
      <c r="C75" s="12"/>
      <c r="D75" s="12"/>
      <c r="E75" s="12"/>
      <c r="F75" s="12"/>
      <c r="G75" s="12"/>
      <c r="H75" s="12"/>
      <c r="I75" s="12"/>
      <c r="J75" s="12"/>
      <c r="K75" s="12"/>
    </row>
    <row r="76" spans="1:11" ht="15" customHeight="1" outlineLevel="2" x14ac:dyDescent="0.25">
      <c r="A76" s="9" t="s">
        <v>133</v>
      </c>
      <c r="B76" s="8" t="s">
        <v>0</v>
      </c>
      <c r="C76" s="8" t="s">
        <v>0</v>
      </c>
      <c r="D76" s="13">
        <v>2164</v>
      </c>
      <c r="E76" s="13">
        <v>0</v>
      </c>
      <c r="F76" s="13">
        <v>0</v>
      </c>
      <c r="G76" s="8" t="s">
        <v>0</v>
      </c>
      <c r="H76" s="8" t="s">
        <v>0</v>
      </c>
      <c r="I76" s="8" t="s">
        <v>0</v>
      </c>
      <c r="J76" s="8" t="s">
        <v>0</v>
      </c>
      <c r="K76" s="8" t="s">
        <v>0</v>
      </c>
    </row>
    <row r="77" spans="1:11" ht="15" customHeight="1" outlineLevel="2" x14ac:dyDescent="0.25">
      <c r="A77" s="7" t="s">
        <v>132</v>
      </c>
      <c r="B77" s="6" t="s">
        <v>0</v>
      </c>
      <c r="C77" s="6" t="s">
        <v>0</v>
      </c>
      <c r="D77" s="6" t="s">
        <v>0</v>
      </c>
      <c r="E77" s="6" t="s">
        <v>0</v>
      </c>
      <c r="F77" s="6" t="s">
        <v>0</v>
      </c>
      <c r="G77" s="6" t="s">
        <v>0</v>
      </c>
      <c r="H77" s="6" t="s">
        <v>0</v>
      </c>
      <c r="I77" s="6" t="s">
        <v>0</v>
      </c>
      <c r="J77" s="6" t="s">
        <v>0</v>
      </c>
      <c r="K77" s="6" t="s">
        <v>0</v>
      </c>
    </row>
    <row r="78" spans="1:11" ht="15" customHeight="1" outlineLevel="2" x14ac:dyDescent="0.25">
      <c r="A78" s="9" t="s">
        <v>131</v>
      </c>
      <c r="B78" s="8" t="s">
        <v>0</v>
      </c>
      <c r="C78" s="8" t="s">
        <v>0</v>
      </c>
      <c r="D78" s="8" t="s">
        <v>0</v>
      </c>
      <c r="E78" s="8" t="s">
        <v>0</v>
      </c>
      <c r="F78" s="8" t="s">
        <v>0</v>
      </c>
      <c r="G78" s="8" t="s">
        <v>0</v>
      </c>
      <c r="H78" s="8" t="s">
        <v>0</v>
      </c>
      <c r="I78" s="8" t="s">
        <v>0</v>
      </c>
      <c r="J78" s="8" t="s">
        <v>0</v>
      </c>
      <c r="K78" s="8" t="s">
        <v>0</v>
      </c>
    </row>
    <row r="79" spans="1:11" ht="15" customHeight="1" x14ac:dyDescent="0.25">
      <c r="A79" s="2" t="s">
        <v>29</v>
      </c>
    </row>
  </sheetData>
  <hyperlinks>
    <hyperlink ref="B9" r:id="rId1" display="fdsup://factset/Doc Viewer Single?float_window=true&amp;positioning_strategy=center_on_screen&amp;_doc_docfn=U2FsdGVkX18LPyUHxst6L9cRJNg4q3h+Ey1uiGsAn09V4q4s/Pw+/7eiigxJ63cMjar41Rby+XtrgN2LIFHCjZBHnjjWYPJDY+kEXBI3Fu0=&amp;_app_id=central_doc_viewer&amp;center_on_screen=true&amp;width=950&amp;height=800&amp;_dd2=%26f%3Dsld%26c%3Dtrue%26os%3D161271%26oe%3D161276" xr:uid="{E809D1AE-622A-40AA-9B1B-E0D42DD647EF}"/>
    <hyperlink ref="C9" r:id="rId2" display="fdsup://factset/Doc Viewer Single?float_window=true&amp;positioning_strategy=center_on_screen&amp;_doc_docfn=U2FsdGVkX1/LgHXb9y/ere+/u0IGEBe5d/8ZtDHLbXqNwhZDDpiTKYvR9l2tyajGWkpdHTtWRMAQzn+vSVyqoJZ+n/nsxL6OrMiaRUOE1IA=&amp;_app_id=central_doc_viewer&amp;center_on_screen=true&amp;width=950&amp;height=800&amp;_dd2=%26f%3Dsld%26c%3Dtrue%26os%3D164750%26oe%3D164755" xr:uid="{8BA2DB27-8E7E-43EC-B248-428B3ED6FE52}"/>
    <hyperlink ref="D9" r:id="rId3" display="fdsup://factset/Doc Viewer Single?float_window=true&amp;positioning_strategy=center_on_screen&amp;_doc_docfn=U2FsdGVkX18MCqY5xauHY5WctUInPbGnvVxNNe7MxHLQyJt3xHHP62wa5DPbFFs3pvjfcuerX852FRe7QImdmm0G1ch2bv6hLi4YCg3Rjxo=&amp;_app_id=central_doc_viewer&amp;center_on_screen=true&amp;width=950&amp;height=800&amp;_dd2=%26f%3Dsld%26c%3Dtrue%26os%3D169033%26oe%3D169039" xr:uid="{9C02E7D1-DAEC-4E9A-8FA4-0A01E01C89CA}"/>
    <hyperlink ref="E9" r:id="rId4" display="fdsup://factset/Doc Viewer Single?float_window=true&amp;positioning_strategy=center_on_screen&amp;_doc_docfn=U2FsdGVkX1+yOLb0TcEa/VEGUiAnlJXA+WemZhiCKWTZ/hJwZEYIDfDyQcBun0DbB3HAjD4hwGMoSkLNtqoX75APU5QJFwlmJaTGbHy8L84=&amp;_app_id=central_doc_viewer&amp;center_on_screen=true&amp;width=950&amp;height=800&amp;_dd2=%26f%3Dsld%26c%3Dtrue%26os%3D172164%26oe%3D172170" xr:uid="{1D32A9D8-B3A2-4D47-BD36-37A0A8C2633A}"/>
    <hyperlink ref="F9" r:id="rId5" display="fdsup://factset/Doc Viewer Single?float_window=true&amp;positioning_strategy=center_on_screen&amp;_doc_docfn=U2FsdGVkX1/Kdhk/lvlfyEUj+dDPon/JSsq9v7MDROsVmbkIcW3iDY54pteypuBBWb0ji6srVlvwqucMYFaWI1FIExy21/CbR8CGPk+oYO0=&amp;_app_id=central_doc_viewer&amp;center_on_screen=true&amp;width=950&amp;height=800&amp;_dd2=%26f%3Dsld%26c%3Dtrue%26os%3D249816%26oe%3D249822" xr:uid="{AECDEC3D-6586-4564-9E14-ED4252AAA129}"/>
    <hyperlink ref="G9" r:id="rId6" display="fdsup://factset/Doc Viewer Single?float_window=true&amp;positioning_strategy=center_on_screen&amp;_doc_docfn=U2FsdGVkX1/Fppm6F1+BAwhyDMFdwcyURrIA3hRrdsyxFImDpXMG8HnS610QDUJxRrPdQ+gE5f7fyt+CTindnvCBiLC2Z58D357ZNpzAxGE=&amp;_app_id=central_doc_viewer&amp;center_on_screen=true&amp;width=950&amp;height=800&amp;_dd2=%26f%3Dsld%26c%3Dtrue%26os%3D430672%26oe%3D430678" xr:uid="{756A8D4B-7BCE-49BB-A909-599C13BD53C2}"/>
    <hyperlink ref="H9" r:id="rId7" display="fdsup://factset/Doc Viewer Single?float_window=true&amp;positioning_strategy=center_on_screen&amp;_doc_docfn=U2FsdGVkX1/NTTPjG+zFbRThjK9cbVGVh8B+8OFwzE2CY3A4wcyOqdmtoV+HzRKnquu8/UoTfQJi8L+5rOta+G5M/MPLsc9rGPTHcYKL6uw=&amp;_app_id=central_doc_viewer&amp;center_on_screen=true&amp;width=950&amp;height=800&amp;_dd2=%26f%3Dsld%26c%3Dtrue%26os%3D266010%26oe%3D266016" xr:uid="{728E107E-3289-4856-AE04-9F8A8B7F169A}"/>
    <hyperlink ref="I9" r:id="rId8" display="fdsup://factset/Doc Viewer Single?float_window=true&amp;positioning_strategy=center_on_screen&amp;_doc_docfn=U2FsdGVkX18spXLERpkS8moa5J9ZZjmhnunp8/TpIRCj1upGtIkGsBLnplFAA7pUKi2lbrva5dvRic5z/o3utw2CSC2llWWG+4Wh6l4A2cg=&amp;_app_id=central_doc_viewer&amp;center_on_screen=true&amp;width=950&amp;height=800&amp;_dd2=%26f%3Dsld%26c%3Dtrue%26os%3D249520%26oe%3D249526" xr:uid="{209DE11F-2522-455B-9E37-B28ABA8F2C0A}"/>
    <hyperlink ref="J9" r:id="rId9" display="fdsup://factset/Doc Viewer Single?float_window=true&amp;positioning_strategy=center_on_screen&amp;_doc_docfn=U2FsdGVkX1+Pl80rlJ6Fuxm35+CGW5e7HkdJNDEVwNG87IzznqU0eeVVuSZ4UfOcXnA9Bxyp5/DU8vSAHqHF6uCmM7mFio6te/vesMK3RU0=&amp;_app_id=central_doc_viewer&amp;center_on_screen=true&amp;width=950&amp;height=800&amp;_dd2=%26f%3Dsld%26c%3Dtrue%26os%3D250802%26oe%3D250808" xr:uid="{AA01EB84-C8D2-4A25-8AD7-47B3DA9829FA}"/>
    <hyperlink ref="K9" r:id="rId10" display="fdsup://factset/Doc Viewer Single?float_window=true&amp;positioning_strategy=center_on_screen&amp;_doc_docfn=U2FsdGVkX18BeOj8uAkCUInXX5BmW3BF/dSf0wUjTFdqgpy68dAECirPklgH0xihH/kLaJ3uCJyTN1vy02/17ZH7fqqZ6/glNtDMaEeIVZs=&amp;_app_id=central_doc_viewer&amp;center_on_screen=true&amp;width=950&amp;height=800&amp;_dd2=%26f%3Dsld%26c%3Dtrue%26os%3D262050%26oe%3D262056" xr:uid="{C0DB8A2F-628F-4335-9647-D656BF0EFAE3}"/>
    <hyperlink ref="B10" r:id="rId11" display="fdsup://factset/Doc Viewer Single?float_window=true&amp;positioning_strategy=center_on_screen&amp;_doc_docfn=U2FsdGVkX19jUDwNSOSV4pD2W3bJbxVlC2OgKmFKZsrn+s5THoIS2eh8QRI/S9oCrvhq+z5IisMLqv1hIXjqWp+vX9ucQcetaBhBPuNrIhI=&amp;_app_id=central_doc_viewer&amp;center_on_screen=true&amp;width=950&amp;height=800&amp;_dd2=%26f%3Dsld%26c%3Dtrue%26os%3D151690%26oe%3D151695" xr:uid="{915B3C29-C0E4-45E7-B1DD-6AAD7EB1E6C3}"/>
    <hyperlink ref="C10" r:id="rId12" display="fdsup://factset/Doc Viewer Single?float_window=true&amp;positioning_strategy=center_on_screen&amp;_doc_docfn=U2FsdGVkX18/vaHWdMneZdpuLoWuED0yMNe41E+VYh4AXrEJcMHIiYZPm1QUUFJmt/D/VS7DdnAjsK75tl+YDcb6xPAWxVrUVnRPn3JWh38=&amp;_app_id=central_doc_viewer&amp;center_on_screen=true&amp;width=950&amp;height=800&amp;_dd2=%26f%3Dsld%26c%3Dtrue%26os%3D155963%26oe%3D155968" xr:uid="{4BFC3E34-8CBF-4A40-A1D2-7403D43BFD01}"/>
    <hyperlink ref="D10" r:id="rId13" display="fdsup://factset/Doc Viewer Single?float_window=true&amp;positioning_strategy=center_on_screen&amp;_doc_docfn=U2FsdGVkX195b5aA7kcgIZyXBbUqnZ0zZW6ur1TaB74gmhBt8MRlYWIPlOFrxviOMPAc9rSDUAMmpEBKiHZDx1k3fZZ/sHwlUKvvCidGDlA=&amp;_app_id=central_doc_viewer&amp;center_on_screen=true&amp;width=950&amp;height=800&amp;_dd2=%26f%3Dsld%26c%3Dtrue%26os%3D160243%26oe%3D160249" xr:uid="{4F817C36-6F89-4BFF-90EB-796556889A61}"/>
    <hyperlink ref="E10" r:id="rId14" display="fdsup://factset/Doc Viewer Single?float_window=true&amp;positioning_strategy=center_on_screen&amp;_doc_docfn=U2FsdGVkX1+68f2i13yzf3l4sne3rLg8VCyLbBzqAHWUVQ6D1LGA7mnzAJ4TqqjC5uB0vNQfXRDLyWuzkQGCb0Mwc5QskurDP9HADgorjc8=&amp;_app_id=central_doc_viewer&amp;center_on_screen=true&amp;width=950&amp;height=800&amp;_dd2=%26f%3Dsld%26c%3Dtrue%26os%3D163381%26oe%3D163387" xr:uid="{34AC6C40-CC18-4CF7-B4E0-6F7B9D5A422A}"/>
    <hyperlink ref="F10" r:id="rId15" display="fdsup://factset/Doc Viewer Single?float_window=true&amp;positioning_strategy=center_on_screen&amp;_doc_docfn=U2FsdGVkX1+LJObzwO+EnfPu3jRsevsOnV1DY0blNMYr27Iy/I3XONzTMqiYxLvQsGi64uCvHHjSrDrkKZgSr5/Vs0pm5zASohRPNr/ereU=&amp;_app_id=central_doc_viewer&amp;center_on_screen=true&amp;width=950&amp;height=800&amp;_dd2=%26f%3Dsld%26c%3Dtrue%26os%3D241679%26oe%3D241685" xr:uid="{22054D3C-A118-48A9-A1A1-45AAF4341309}"/>
    <hyperlink ref="G10" r:id="rId16" display="fdsup://factset/Doc Viewer Single?float_window=true&amp;positioning_strategy=center_on_screen&amp;_doc_docfn=U2FsdGVkX18UjQ8Uj/wwW8raEPiM5+3gWku7cyBp7dHD0jl8PvLzQh5w1OQwV1qzxU9yzQpji1NHMPEFKxb7SU3y2zkHLEFN54cbit9zW8E=&amp;_app_id=central_doc_viewer&amp;center_on_screen=true&amp;width=950&amp;height=800&amp;_dd2=%26f%3Dsld%26c%3Dtrue%26os%3D422539%26oe%3D422545" xr:uid="{80A280F6-5563-41AA-AA58-39A2BA038C9F}"/>
    <hyperlink ref="H10" r:id="rId17" display="fdsup://factset/Doc Viewer Single?float_window=true&amp;positioning_strategy=center_on_screen&amp;_doc_docfn=U2FsdGVkX1/nLR6953SMQLlxG9/0cKc3fXeCZ7QCj8sJMDFYvFnuWgm5bP8ztRuXUG6CByPPdRqjiwLKdbzOqkv3KsU4ba1s1ESxK+4/7gQ=&amp;_app_id=central_doc_viewer&amp;center_on_screen=true&amp;width=950&amp;height=800&amp;_dd2=%26f%3Dsld%26c%3Dtrue%26os%3D257863%26oe%3D257869" xr:uid="{424A8783-A9AA-4CEF-9B6A-193716992A75}"/>
    <hyperlink ref="I10" r:id="rId18" display="fdsup://factset/Doc Viewer Single?float_window=true&amp;positioning_strategy=center_on_screen&amp;_doc_docfn=U2FsdGVkX19aa1qUeQwLOz1ONO4lU+m1uqPD2Zb4uTrf2/f6tMqdQq9dTmr/gvvSRaLnoLClHygyGKH5zO43paALY4VqbEMsPdXikkiYyFQ=&amp;_app_id=central_doc_viewer&amp;center_on_screen=true&amp;width=950&amp;height=800&amp;_dd2=%26f%3Dsld%26c%3Dtrue%26os%3D241363%26oe%3D241369" xr:uid="{E0BFB812-F256-45CB-B982-1CBDAFC99D28}"/>
    <hyperlink ref="J10" r:id="rId19" display="fdsup://factset/Doc Viewer Single?float_window=true&amp;positioning_strategy=center_on_screen&amp;_doc_docfn=U2FsdGVkX1/FJzufy8pKqLA/g29Y15mkEmkLrgn0AYJHW69mJmtGPG/C50ss6rZiO2mGX2dk947nwF8YesEW9HEJZH7db/WuG9J6b4l2Ca0=&amp;_app_id=central_doc_viewer&amp;center_on_screen=true&amp;width=950&amp;height=800&amp;_dd2=%26f%3Dsld%26c%3Dtrue%26os%3D242630%26oe%3D242636" xr:uid="{88D162A8-ADB0-4E33-8749-6246954DE1D1}"/>
    <hyperlink ref="K10" r:id="rId20" display="fdsup://factset/Doc Viewer Single?float_window=true&amp;positioning_strategy=center_on_screen&amp;_doc_docfn=U2FsdGVkX1/mkgi8JsNvbgNswQxNMY1+Ey8iKHRSoKJX66ieMOrBInlBHglWYpObUN/r4LEdAzq6nZ+UY/LcKxMxMQ470um6Pq1k60thQUU=&amp;_app_id=central_doc_viewer&amp;center_on_screen=true&amp;width=950&amp;height=800&amp;_dd2=%26f%3Dsld%26c%3Dtrue%26os%3D252352%26oe%3D252358" xr:uid="{DB7EFC31-BDB7-4A9E-AA5C-3A0CAE7FFCA2}"/>
    <hyperlink ref="B12" r:id="rId21" display="fdsup://factset/Doc Viewer Single?float_window=true&amp;positioning_strategy=center_on_screen&amp;_doc_docfn=U2FsdGVkX1/Em2XkO5popG/1haE9iye+t86TZpsxZQBBnzokSplJBvDvJGFFtaWmqBC5Wem5Tu9Yl6/7KUzR+To4PqDgVmOgqwTM3BN/lGA=&amp;_app_id=central_doc_viewer&amp;center_on_screen=true&amp;width=950&amp;height=800&amp;_dd2=%26f%3Dsld%26c%3Dtrue%26os%3D152806%26oe%3D152811" xr:uid="{BF1F90E7-4C7A-40AF-9F15-637B11380A5A}"/>
    <hyperlink ref="C12" r:id="rId22" display="fdsup://factset/Doc Viewer Single?float_window=true&amp;positioning_strategy=center_on_screen&amp;_doc_docfn=U2FsdGVkX1/Kaj22YaZvi+hkFDt6UVPqBmY6dIlhlYn7X2fJHmlz1ObMm4pBL8PWE0z6MMkcVQf5HG9o/cr3nY5fA/CVlsexgCYXzDu/2vY=&amp;_app_id=central_doc_viewer&amp;center_on_screen=true&amp;width=950&amp;height=800&amp;_dd2=%26f%3Dsld%26c%3Dtrue%26os%3D157079%26oe%3D157084" xr:uid="{8EE1EF93-EF15-43A8-8B24-AA7C5688A929}"/>
    <hyperlink ref="D12" r:id="rId23" display="fdsup://factset/Doc Viewer Single?float_window=true&amp;positioning_strategy=center_on_screen&amp;_doc_docfn=U2FsdGVkX1+Z9Bxx+GaZpGxjGKUhaDvKWBlAxLyjaQ0G+WR896fLSkQgaB+c1aENxjlQn44aXrytxScK/0V6xXi+0XgTWJZGLClI+9+gOM4=&amp;_app_id=central_doc_viewer&amp;center_on_screen=true&amp;width=950&amp;height=800&amp;_dd2=%26f%3Dsld%26c%3Dtrue%26os%3D161360%26oe%3D161365" xr:uid="{1D40FAA5-E62B-4811-9B57-B1DD2D3B4848}"/>
    <hyperlink ref="E12" r:id="rId24" display="fdsup://factset/Doc Viewer Single?float_window=true&amp;positioning_strategy=center_on_screen&amp;_doc_docfn=U2FsdGVkX18ssWwVi8xqM+z7xQZu5G8QEOEcZVMeGxHwdUukvOZShQ2fTwG4OS8yvLPZakyHwsjpjrPOeo2FcvUUx+oFAB1UZIRkhAN2t1M=&amp;_app_id=central_doc_viewer&amp;center_on_screen=true&amp;width=950&amp;height=800&amp;_dd2=%26f%3Dsld%26c%3Dtrue%26os%3D164500%26oe%3D164505" xr:uid="{33ED8276-EC3B-4C18-9E3E-FC986351FE46}"/>
    <hyperlink ref="F12" r:id="rId25" display="fdsup://factset/Doc Viewer Single?float_window=true&amp;positioning_strategy=center_on_screen&amp;_doc_docfn=U2FsdGVkX19iO6NUmCCoL0FqzFrv+bOiTyCCrxQXnnXuU7Pw0je7umegWJZmzKx19A7jDhSOA6JKTI43v8ueSCxVom0K7hACmX/f6NZJiXE=&amp;_app_id=central_doc_viewer&amp;center_on_screen=true&amp;width=950&amp;height=800&amp;_dd2=%26f%3Dsld%26c%3Dtrue%26os%3D242703%26oe%3D242708" xr:uid="{6AFAAB80-EF08-4A2D-910F-6AFFA151170F}"/>
    <hyperlink ref="G12" r:id="rId26" display="fdsup://factset/Doc Viewer Single?float_window=true&amp;positioning_strategy=center_on_screen&amp;_doc_docfn=U2FsdGVkX1873rGECo9p6Wrf8IEVHfTr7dKr1k4SaygFpNPxhfh8yqzAgV5SbkvYgVBzswu9R9+7dvd0CoTbtaQE4IljOg0zXlt5AM/iS08=&amp;_app_id=central_doc_viewer&amp;center_on_screen=true&amp;width=950&amp;height=800&amp;_dd2=%26f%3Dsld%26c%3Dtrue%26os%3D423563%26oe%3D423568" xr:uid="{0E5B5CAE-D477-4802-BA0F-3FABA2743248}"/>
    <hyperlink ref="H12" r:id="rId27" display="fdsup://factset/Doc Viewer Single?float_window=true&amp;positioning_strategy=center_on_screen&amp;_doc_docfn=U2FsdGVkX1/s9Irgg9eQ0Jd1J5SrOVktWKL9MposkP2J33IcgrrHxPMRsgmGKa/2pTi4AA2vF0t6bZuMTOKiBfvC6oBQil4Pf+jNrq2aT/Y=&amp;_app_id=central_doc_viewer&amp;center_on_screen=true&amp;width=950&amp;height=800&amp;_dd2=%26f%3Dsld%26c%3Dtrue%26os%3D258887%26oe%3D258892" xr:uid="{FC36D1F0-CAB1-446C-BC50-BF285252B330}"/>
    <hyperlink ref="I12" r:id="rId28" display="fdsup://factset/Doc Viewer Single?float_window=true&amp;positioning_strategy=center_on_screen&amp;_doc_docfn=U2FsdGVkX1+Fw4WYcMNkmtvhr5HuAltQl1aMekidfbDNRDpaM3ThNLoaUggiVIORSYa12DNVNt/+VaKO0YkucLk4/hZAoftkMkKy67VqgHI=&amp;_app_id=central_doc_viewer&amp;center_on_screen=true&amp;width=950&amp;height=800&amp;_dd2=%26f%3Dsld%26c%3Dtrue%26os%3D242387%26oe%3D242392" xr:uid="{B0954300-5FCA-47C9-9A02-0F117E4CD565}"/>
    <hyperlink ref="J12" r:id="rId29" display="fdsup://factset/Doc Viewer Single?float_window=true&amp;positioning_strategy=center_on_screen&amp;_doc_docfn=U2FsdGVkX19iKS+9jVjdqDDtmeWEiWBPCoDRGNqAW6PrEqud4YbO63LV77z10KVih+9V+i1jfP36n1yQJbwjkNW/TG8ef0HVsJFm/cJUhyI=&amp;_app_id=central_doc_viewer&amp;center_on_screen=true&amp;width=950&amp;height=800&amp;_dd2=%26f%3Dsld%26c%3Dtrue%26os%3D243654%26oe%3D243659" xr:uid="{DEFD1D74-409E-4FA6-839C-F98E0A895102}"/>
    <hyperlink ref="K12" r:id="rId30" display="fdsup://factset/Doc Viewer Single?float_window=true&amp;positioning_strategy=center_on_screen&amp;_doc_docfn=U2FsdGVkX19pUU4rJ7zfaOLeNPgMg92MRy1XyVNE1kCt+J997MIBKEHXUAhyCxn/duU985txGKZtw7MNNE0so2W1IDVRchjM5tJ6AEOurrs=&amp;_app_id=central_doc_viewer&amp;center_on_screen=true&amp;width=950&amp;height=800&amp;_dd2=%26f%3Dsld%26c%3Dtrue%26os%3D253376%26oe%3D253381" xr:uid="{97AFA436-C730-4580-885A-1DFB48915D9F}"/>
    <hyperlink ref="B14" r:id="rId31" display="fdsup://factset/Doc Viewer Single?float_window=true&amp;positioning_strategy=center_on_screen&amp;_doc_docfn=U2FsdGVkX18w+FCOpDs9huU6jLyuR0KtdMi01xiUOjuGPEjUqysVgnpKG3eeX47sKu8mEm4JFVkGjMQ2MPRR7bIqoQw2vU4fxsPz3IdiXoA=&amp;_app_id=central_doc_viewer&amp;center_on_screen=true&amp;width=950&amp;height=800&amp;_dd2=%26f%3Dsld%26c%3Dtrue%26os%3D153588%26oe%3D153592" xr:uid="{DB124434-EB3C-4BEB-B856-18614304818F}"/>
    <hyperlink ref="C14" r:id="rId32" display="fdsup://factset/Doc Viewer Single?float_window=true&amp;positioning_strategy=center_on_screen&amp;_doc_docfn=U2FsdGVkX1/pjHUr/6lAMEJye/pbAt30/PcB3UikO25pW0nTL2cc0PCXlRorEG2P0sG6Kn/Fo2hMhvJUsNbgyvJ3MLMrGzo/ReQbhkrEELQ=&amp;_app_id=central_doc_viewer&amp;center_on_screen=true&amp;width=950&amp;height=800&amp;_dd2=%26f%3Dsld%26c%3Dtrue%26os%3D157861%26oe%3D157863" xr:uid="{CA7466B8-FF90-4B2C-B6F1-2A0E892E9C51}"/>
    <hyperlink ref="D14" r:id="rId33" display="fdsup://factset/Doc Viewer Single?float_window=true&amp;positioning_strategy=center_on_screen&amp;_doc_docfn=U2FsdGVkX19NaAMAkdf6SYDtwl64wnBZlS2gMxGHkj8LGHmoboWaMsXOrfHw2z9OWo7t6Xo1YGKthRaK8ENAXO2jYWSk208FMd3/ZkIE//s=&amp;_app_id=central_doc_viewer&amp;center_on_screen=true&amp;width=950&amp;height=800&amp;_dd2=%26f%3Dsld%26c%3Dtrue%26os%3D162143%26oe%3D162148" xr:uid="{F0A9D117-55A1-42CD-AE86-016A22C96508}"/>
    <hyperlink ref="E14" r:id="rId34" display="fdsup://factset/Doc Viewer Single?float_window=true&amp;positioning_strategy=center_on_screen&amp;_doc_docfn=U2FsdGVkX18iI0v/msWRI7L/Od05G1kHuQ9cnm6lszFK0AE4/FvVDcWBq13BwUxhPuBgMPrlQcshBRNiezw9JyB9NVhbUvkULWaCsZcOyBM=&amp;_app_id=central_doc_viewer&amp;center_on_screen=true&amp;width=950&amp;height=800&amp;_dd2=%26f%3Dsld%26c%3Dtrue%26os%3D165282%26oe%3D165284" xr:uid="{5977D8D9-BB33-4842-BDA2-6519A3D27CB8}"/>
    <hyperlink ref="F14" r:id="rId35" display="fdsup://factset/Doc Viewer Single?float_window=true&amp;positioning_strategy=center_on_screen&amp;_doc_docfn=U2FsdGVkX1/9v3RF1uBdU0Nc0T9v18eOsQIlLgPavsGIPPgkoTjLsOEp3RIoi2kEVKJQH2BeAMZ/HRllNTtfBQcbavRYaGi/xiM4YitJQko=&amp;_app_id=central_doc_viewer&amp;center_on_screen=true&amp;width=950&amp;height=800&amp;_dd2=%26f%3Dsld%26c%3Dtrue%26os%3D243430%26oe%3D243433" xr:uid="{9DEA29CB-7686-4A00-82E0-C79BB9C4049B}"/>
    <hyperlink ref="G14" r:id="rId36" display="fdsup://factset/Doc Viewer Single?float_window=true&amp;positioning_strategy=center_on_screen&amp;_doc_docfn=U2FsdGVkX18og4/3tppbDZmr+7Efi6bETN4o4WfvmLn/NFh85+44BP63NhYSbrEwauk+xMt9D0y81gZlidbSpVcl1hAaO/FboXK7JCQS0ho=&amp;_app_id=central_doc_viewer&amp;center_on_screen=true&amp;width=950&amp;height=800&amp;_dd2=%26f%3Dsld%26c%3Dtrue%26os%3D424288%26oe%3D424291" xr:uid="{0282CE2E-95AE-4F02-979D-1D479995DD27}"/>
    <hyperlink ref="H14" r:id="rId37" display="fdsup://factset/Doc Viewer Single?float_window=true&amp;positioning_strategy=center_on_screen&amp;_doc_docfn=U2FsdGVkX18BkGKSpw2x8xZluFU+jx44OTHs7RUAw3E4DpJ1eth/e8tp9uNDXPO8oTUEh+8XXpunGsGLhBK5uH+F0QSedwpklj/vKeAw28U=&amp;_app_id=central_doc_viewer&amp;center_on_screen=true&amp;width=950&amp;height=800&amp;_dd2=%26f%3Dsld%26c%3Dtrue%26os%3D259614%26oe%3D259617" xr:uid="{1D908FC5-2167-4B6D-B6D4-5A9B8C54E192}"/>
    <hyperlink ref="I14" r:id="rId38" display="fdsup://factset/Doc Viewer Single?float_window=true&amp;positioning_strategy=center_on_screen&amp;_doc_docfn=U2FsdGVkX1/NrZYgDT50hmNH+yW/ArlswTlEm6XQnJU4dizq7nFZsRp9MFgnFp8FYGHfF+4DWcX7Uq7S2ixBhKIFK8iY8l3efiwH9XYaLJo=&amp;_app_id=central_doc_viewer&amp;center_on_screen=true&amp;width=950&amp;height=800&amp;_dd2=%26f%3Dsld%26c%3Dtrue%26os%3D243114%26oe%3D243119" xr:uid="{C49257DD-0D4A-4429-900C-DC86396444CC}"/>
    <hyperlink ref="J14" r:id="rId39" display="fdsup://factset/Doc Viewer Single?float_window=true&amp;positioning_strategy=center_on_screen&amp;_doc_docfn=U2FsdGVkX1/GQhqtPv5zQg94cQJUUptp/nxalnpFj/maPDmj3YyGC++fN6ec+nQ1rnbk2+mE3zsPp5sevBHFdvsOfyiF4E1pvf50sGxk/Nk=&amp;_app_id=central_doc_viewer&amp;center_on_screen=true&amp;width=950&amp;height=800&amp;_dd2=%26f%3Dsld%26c%3Dtrue%26os%3D244381%26oe%3D244386" xr:uid="{CDC64464-82CA-49B1-B0C2-7035B9C79DD2}"/>
    <hyperlink ref="K14" r:id="rId40" display="fdsup://factset/Doc Viewer Single?float_window=true&amp;positioning_strategy=center_on_screen&amp;_doc_docfn=U2FsdGVkX1+sCMcDVptxOsKJ1r1BMn/O/38yEEZx3rA49pk6eU12iHXoIrRo+o7zx9T6WLsBYKqhaMYGCqGGXQNGKq8xOzjCQCCl7Z0dXiI=&amp;_app_id=central_doc_viewer&amp;center_on_screen=true&amp;width=950&amp;height=800&amp;_dd2=%26f%3Dsld%26c%3Dtrue%26os%3D254103%26oe%3D254108" xr:uid="{6BB17750-E8F8-46C6-9CAA-E0DBAD2612B7}"/>
    <hyperlink ref="K15" r:id="rId41" display="fdsup://factset/Doc Viewer Single?float_window=true&amp;positioning_strategy=center_on_screen&amp;_doc_docfn=U2FsdGVkX1/hnluSWqXXpGDGJv5C7uMuB0QzSx7Bdg8GJRW0Nida6WnbZeJX9Nk1Sv+h4z0Hjbl2VES2gQoskDtp1aN15a7gA2foLKhJXY4=&amp;_app_id=central_doc_viewer&amp;center_on_screen=true&amp;width=950&amp;height=800&amp;_dd2=%26f%3Dsld%26c%3Dtrue%26os%3D256363%26oe%3D256370" xr:uid="{B96FFFC5-AAD6-4378-8977-90B7678EAAE5}"/>
    <hyperlink ref="B16" r:id="rId42" display="fdsup://factset/Doc Viewer Single?float_window=true&amp;positioning_strategy=center_on_screen&amp;_doc_docfn=U2FsdGVkX197MQq94odhIOe4V1c3d7+m+hN4rGhJPaTm3qoGU37jRmpE/HFM1n6SWsDYXLFI8cfvaCMUMKhkXHogOL2TE1ZceBNMaKfWqdM=&amp;_app_id=central_doc_viewer&amp;center_on_screen=true&amp;width=950&amp;height=800&amp;_dd2=%26f%3Dsld%26c%3Dtrue%26os%3D155112%26oe%3D155117" xr:uid="{973610E7-C24E-42AD-969C-B0A2A4DC5709}"/>
    <hyperlink ref="C16" r:id="rId43" display="fdsup://factset/Doc Viewer Single?float_window=true&amp;positioning_strategy=center_on_screen&amp;_doc_docfn=U2FsdGVkX1+QAmrGqUrDrVercybRclVmKkjq1I4godLECe88qqV8MWn21VFrcaq22fzDL/+Aa/M31BKOEzX1CBlSm6f6DgrucSuHg5H/sNQ=&amp;_app_id=central_doc_viewer&amp;center_on_screen=true&amp;width=950&amp;height=800&amp;_dd2=%26f%3Dsld%26c%3Dtrue%26os%3D159386%26oe%3D159390" xr:uid="{757905CE-783C-49A5-99DD-43FE0688A92A}"/>
    <hyperlink ref="D16" r:id="rId44" display="fdsup://factset/Doc Viewer Single?float_window=true&amp;positioning_strategy=center_on_screen&amp;_doc_docfn=U2FsdGVkX18Jk3aOu6Hg26AWTqi+cGoocw/OfH25e6ayTYSFDET2i++yjZZGKcI/3XHIBcis5a+flTRYYbEj3Onbtkp+HS/ZrEg/cBBmggw=&amp;_app_id=central_doc_viewer&amp;center_on_screen=true&amp;width=950&amp;height=800&amp;_dd2=%26f%3Dsld%26c%3Dtrue%26os%3D163668%26oe%3D163671" xr:uid="{5804732D-7377-411E-9134-8B82A2D6082E}"/>
    <hyperlink ref="E16" r:id="rId45" display="fdsup://factset/Doc Viewer Single?float_window=true&amp;positioning_strategy=center_on_screen&amp;_doc_docfn=U2FsdGVkX1+UoCA8f24QUPkZmQe6eWXV8GhXk9o9vBKl+TIreAKT6eWpc91ZqTwRBsLmMnNCL4JSAQDGe2MxECmaV2Yoz8xZrtYJJeoI/yc=&amp;_app_id=central_doc_viewer&amp;center_on_screen=true&amp;width=950&amp;height=800&amp;_dd2=%26f%3Dsld%26c%3Dtrue%26os%3D166805%26oe%3D166809" xr:uid="{0985B11E-57D5-4BEB-B49B-C5BA84C1A457}"/>
    <hyperlink ref="F16" r:id="rId46" display="fdsup://factset/Doc Viewer Single?float_window=true&amp;positioning_strategy=center_on_screen&amp;_doc_docfn=U2FsdGVkX180eQCDjvdUpHWJBjczCiZLy02AGAVXIhe6ZKTbSpysMP099w3IHMD6oTinFuGXCDJY/h5XTUXgogR0X6BXJNxOP8s6RTBzFyE=&amp;_app_id=central_doc_viewer&amp;center_on_screen=true&amp;width=950&amp;height=800&amp;_dd2=%26f%3Dsld%26c%3Dtrue%26os%3D244843%26oe%3D244848" xr:uid="{5B44E704-E220-429B-9C4B-7F1CBD8B978E}"/>
    <hyperlink ref="G16" r:id="rId47" display="fdsup://factset/Doc Viewer Single?float_window=true&amp;positioning_strategy=center_on_screen&amp;_doc_docfn=U2FsdGVkX1+LT45m3uOQKMWoXnhBV3dtxpxAISaIodBRp/KV7QPqSlSrBKkbD9jl2a2TmV1lz64JT9NJOI9tdPcJmmy986GsbvWzzysALI4=&amp;_app_id=central_doc_viewer&amp;center_on_screen=true&amp;width=950&amp;height=800&amp;_dd2=%26f%3Dsld%26c%3Dtrue%26os%3D425698%26oe%3D425702" xr:uid="{49FED7B1-C3B8-4B68-9177-947599BA861E}"/>
    <hyperlink ref="H16" r:id="rId48" display="fdsup://factset/Doc Viewer Single?float_window=true&amp;positioning_strategy=center_on_screen&amp;_doc_docfn=U2FsdGVkX1/czae0N9mO5XiAMZzjAq8eQjGyl3D6Mtdh+kLI/E0DhgvfM5j5323yXxK/ANdoazIp3VV5mG+v04hPfrraVhcvZO+wCzFKDBU=&amp;_app_id=central_doc_viewer&amp;center_on_screen=true&amp;width=950&amp;height=800&amp;_dd2=%26f%3Dsld%26c%3Dtrue%26os%3D261025%26oe%3D261030" xr:uid="{CAE89539-5F44-4737-9661-DDC68599724E}"/>
    <hyperlink ref="I16" r:id="rId49" display="fdsup://factset/Doc Viewer Single?float_window=true&amp;positioning_strategy=center_on_screen&amp;_doc_docfn=U2FsdGVkX1+yHVejDpB6vFp7Fo/ZLOfW1hH6tNsec91HKrfAGt4e0sVNLGMF5iFTSrci+e64hvhKUIUatPrOhaNyYH7+VfqWCeUY0EH4qaU=&amp;_app_id=central_doc_viewer&amp;center_on_screen=true&amp;width=950&amp;height=800&amp;_dd2=%26f%3Dsld%26c%3Dtrue%26os%3D244527%26oe%3D244532" xr:uid="{46EEDB38-92C2-47DD-AD26-E83BD4BE77BD}"/>
    <hyperlink ref="J16" r:id="rId50" display="fdsup://factset/Doc Viewer Single?float_window=true&amp;positioning_strategy=center_on_screen&amp;_doc_docfn=U2FsdGVkX1+KZXnDqzOePnnNes3NfRo5L+aCwfZMU2xK6RQxeGwyRNesllsMINdRsR/N0ArDGizLuE8dWLrVP0Xd+vUaV9iuC1bt6qNPFUc=&amp;_app_id=central_doc_viewer&amp;center_on_screen=true&amp;width=950&amp;height=800&amp;_dd2=%26f%3Dsld%26c%3Dtrue%26os%3D245801%26oe%3D245806" xr:uid="{0495F483-368C-44F5-AB04-962CFD644327}"/>
    <hyperlink ref="K16" r:id="rId51" display="fdsup://factset/Doc Viewer Single?float_window=true&amp;positioning_strategy=center_on_screen&amp;_doc_docfn=U2FsdGVkX19qSDUWfuT3uI0wd5g2sBD5IFLtYxyczaWn/WB620IPeaFz3CHw+n0VT+brHzaHxgxZs8pUdV/goACjJlLsFGA2i/3rAGeeycA=&amp;_app_id=central_doc_viewer&amp;center_on_screen=true&amp;width=950&amp;height=800&amp;_dd2=%26f%3Dsld%26c%3Dtrue%26os%3D257066%26oe%3D257070" xr:uid="{F98EC036-F1C0-45DE-A4ED-B3ADA8DBFF55}"/>
    <hyperlink ref="B17" r:id="rId52" display="fdsup://factset/Doc Viewer Single?float_window=true&amp;positioning_strategy=center_on_screen&amp;_doc_docfn=U2FsdGVkX1+VrEfTcMNX2SCiOD+eFG0gxolZ6AGbFbgn1BHs5R+Le2uwBDi0l7zoFc48TMUOnBfswJqTkY56EJ2VCCQ/Yp4UxB8qSn910bU=&amp;_app_id=central_doc_viewer&amp;center_on_screen=true&amp;width=950&amp;height=800&amp;_dd2=%26f%3Dsld%26c%3Dtrue%26os%3D154364%26oe%3D154367" xr:uid="{8BD58462-16F5-4260-BFF1-AB1113F32136}"/>
    <hyperlink ref="C17" r:id="rId53" display="fdsup://factset/Doc Viewer Single?float_window=true&amp;positioning_strategy=center_on_screen&amp;_doc_docfn=U2FsdGVkX1+Z9k0e2Cz/V4hVLW9ERM73nM69lQ/x239nTWzmI7c9oAZOnTi1/QDsiLt1Z1NqwZF/+JVGrUfTFfnGD1vMTIPitsupz/BiP/w=&amp;_app_id=central_doc_viewer&amp;center_on_screen=true&amp;width=950&amp;height=800&amp;_dd2=%26f%3Dsld%26c%3Dtrue%26os%3D158639%26oe%3D158642" xr:uid="{58831973-C8DC-46AE-8BB2-541F9706750B}"/>
    <hyperlink ref="D17" r:id="rId54" display="fdsup://factset/Doc Viewer Single?float_window=true&amp;positioning_strategy=center_on_screen&amp;_doc_docfn=U2FsdGVkX18BTBHHoc4o7UGX3M34GjmuaS890b35igg9VMYnuZfmHyneuV/nxkAtNCYrF6rpcl53fIYlb0zFTyTCLp9cbacK8Nb11zXJG/8=&amp;_app_id=central_doc_viewer&amp;center_on_screen=true&amp;width=950&amp;height=800&amp;_dd2=%26f%3Dsld%26c%3Dtrue%26os%3D162920%26oe%3D162923" xr:uid="{167EE968-E03A-4494-BFCB-C95FCC082833}"/>
    <hyperlink ref="E17" r:id="rId55" display="fdsup://factset/Doc Viewer Single?float_window=true&amp;positioning_strategy=center_on_screen&amp;_doc_docfn=U2FsdGVkX1+kLJTf3pS5LVNRZ0soFi5wQxTEieGRmLTgbEBTcH1/XmELzDHbjQRVra583WVfN+orpdgds1UM+kE74wzILFT7M4zCfmgfLeY=&amp;_app_id=central_doc_viewer&amp;center_on_screen=true&amp;width=950&amp;height=800&amp;_dd2=%26f%3Dsld%26c%3Dtrue%26os%3D166058%26oe%3D166061" xr:uid="{D5B463FB-51CB-423B-89AD-0938D08597EA}"/>
    <hyperlink ref="F17" r:id="rId56" display="fdsup://factset/Doc Viewer Single?float_window=true&amp;positioning_strategy=center_on_screen&amp;_doc_docfn=U2FsdGVkX1+U22yGfu/6ZHu1KtdyCR4RzN3A8wsGzftwN4RQOq9fpg76QpRAn6lxl5KUcAtb5w8HBdEWgP6pwtXgzuInKtAqvtR+FTbLKLM=&amp;_app_id=central_doc_viewer&amp;center_on_screen=true&amp;width=950&amp;height=800&amp;_dd2=%26f%3Dsld%26c%3Dtrue%26os%3D244151%26oe%3D244154" xr:uid="{F8742FDB-A55C-4A7F-A4BE-CA45BD8BF02D}"/>
    <hyperlink ref="G17" r:id="rId57" display="fdsup://factset/Doc Viewer Single?float_window=true&amp;positioning_strategy=center_on_screen&amp;_doc_docfn=U2FsdGVkX1+1vEBvckex1todcxv8WLzthq30r7vgqtm/jaym8fzhiuFlM8o2mF/6CyL5Bb/XtSVBhIVytyqQISxZ+oC/WjarLR6Lw166Nak=&amp;_app_id=central_doc_viewer&amp;center_on_screen=true&amp;width=950&amp;height=800&amp;_dd2=%26f%3Dsld%26c%3Dtrue%26os%3D425007%26oe%3D425010" xr:uid="{59BFEE8F-C3A1-4F88-8E92-ECB0259364B3}"/>
    <hyperlink ref="H17" r:id="rId58" display="fdsup://factset/Doc Viewer Single?float_window=true&amp;positioning_strategy=center_on_screen&amp;_doc_docfn=U2FsdGVkX1/JyUxOgFJt1YExUs1cK2NrkqBSrRxde6pNW3PcLXOEPC9clQUdJfbOjkdbBUIp2Xzy1IfkZlx7JHM+AZM83Z2zbgEz8d4u+Pw=&amp;_app_id=central_doc_viewer&amp;center_on_screen=true&amp;width=950&amp;height=800&amp;_dd2=%26f%3Dsld%26c%3Dtrue%26os%3D260333%26oe%3D260336" xr:uid="{AEB8A979-9AA8-43A9-967E-902D775FBF16}"/>
    <hyperlink ref="I17" r:id="rId59" display="fdsup://factset/Doc Viewer Single?float_window=true&amp;positioning_strategy=center_on_screen&amp;_doc_docfn=U2FsdGVkX1/eKxGdFkHINIfpN1i8htezR9X8e/NI5It6e9LwnCd9mlqKM2teraXfHrEGCB1RqhcvU4eA5yxHi7PHqCTMRTOCxWE5KpheXl4=&amp;_app_id=central_doc_viewer&amp;center_on_screen=true&amp;width=950&amp;height=800&amp;_dd2=%26f%3Dsld%26c%3Dtrue%26os%3D243835%26oe%3D243838" xr:uid="{DBA06788-2B14-498F-900B-EA0A835F7A05}"/>
    <hyperlink ref="J17" r:id="rId60" display="fdsup://factset/Doc Viewer Single?float_window=true&amp;positioning_strategy=center_on_screen&amp;_doc_docfn=U2FsdGVkX1+bH6Q9FlHllTTvFDE45gGhFpn0k1mb+seKQ6GFYszX9BjwI3dYxRj9LV4fM73V21GmE8EaFd8fh9iqb/sfa4f2KOh7uEmNwQk=&amp;_app_id=central_doc_viewer&amp;center_on_screen=true&amp;width=950&amp;height=800&amp;_dd2=%26f%3Dsld%26c%3Dtrue%26os%3D245107%26oe%3D245112" xr:uid="{3448E222-6727-4354-9CDF-711811FC5C34}"/>
    <hyperlink ref="K17" r:id="rId61" display="fdsup://factset/Doc Viewer Single?float_window=true&amp;positioning_strategy=center_on_screen&amp;_doc_docfn=U2FsdGVkX18ztgmvV9WIFXRhWQ0VKDmFUSA12u0IN1P3aIV9VVphA8gVeCCSL3Dj1M9LhrW6daDQ0r0l9XzD1TD1Dc+NBUKKWpUYzJ3LDJA=&amp;_app_id=central_doc_viewer&amp;center_on_screen=true&amp;width=950&amp;height=800&amp;_dd2=%26f%3Dsld%26c%3Dtrue%26os%3D254831%26oe%3D254836" xr:uid="{DCB4C9CE-F910-4A82-8378-8C3472FDC3CD}"/>
    <hyperlink ref="K18" r:id="rId62" display="fdsup://factset/Doc Viewer Single?float_window=true&amp;positioning_strategy=center_on_screen&amp;_doc_docfn=U2FsdGVkX18xZhmyxvKnUGRC2TM4/UDGng4ZEJIf1Y/XuFwAOfHzZTi2B8Paw8XfkmB7IRWkrQVDMWmnk6C9REli+gq/S4u/slzRYLSchx4=&amp;_app_id=central_doc_viewer&amp;center_on_screen=true&amp;width=950&amp;height=800&amp;_dd2=%26f%3Dsld%26c%3Dtrue%26os%3D255601%26oe%3D255606" xr:uid="{507865C9-0EF6-437B-9B7A-00F4A78B2123}"/>
    <hyperlink ref="B21" r:id="rId63" display="fdsup://factset/Doc Viewer Single?float_window=true&amp;positioning_strategy=center_on_screen&amp;_doc_docfn=U2FsdGVkX1+7tSArleDpDowO99TMoHECuCP4QQ4lGjX5GXRYpxWw6UjHa3kG80Tp742DLtqq6c2EGxgflknRiXLWIOH/M4j8RVt5sG6gIM4=&amp;_app_id=central_doc_viewer&amp;center_on_screen=true&amp;width=950&amp;height=800&amp;_dd2=%26f%3Dsld%26c%3Dtrue%26os%3D156333%26oe%3D156338" xr:uid="{3EB919E6-B949-4D09-84C9-C792D2BE58BF}"/>
    <hyperlink ref="C21" r:id="rId64" display="fdsup://factset/Doc Viewer Single?float_window=true&amp;positioning_strategy=center_on_screen&amp;_doc_docfn=U2FsdGVkX1+OhikuFWSEueA/d6er954YdtJlXNKFIGMHZmZPzR4IQoZ6ZoqvXpgNgilYgwxMoGRcfs+kwEn+zMAryFTUAZsWSUNUmKjsJ/8=&amp;_app_id=central_doc_viewer&amp;center_on_screen=true&amp;width=950&amp;height=800&amp;_dd2=%26f%3Dsld%26c%3Dtrue%26os%3D160609%26oe%3D160616" xr:uid="{8E6E6405-B582-4D41-936E-2285D2B39C5E}"/>
    <hyperlink ref="D21" r:id="rId65" display="fdsup://factset/Doc Viewer Single?float_window=true&amp;positioning_strategy=center_on_screen&amp;_doc_docfn=U2FsdGVkX1/SopVb9yqqGHmFhLUC+4ToIdQ56UcsAcGShykTF25IgK/TPfxjYHFB/EhJS2D28JtQVXyAORe7eHAETabrLMjS8mnFrZwSIUQ=&amp;_app_id=central_doc_viewer&amp;center_on_screen=true&amp;width=950&amp;height=800&amp;_dd2=%26f%3Dsld%26c%3Dtrue%26os%3D164888%26oe%3D164895" xr:uid="{8A2096BB-175E-43DC-92D4-8A890898BF17}"/>
    <hyperlink ref="E21" r:id="rId66" display="fdsup://factset/Doc Viewer Single?float_window=true&amp;positioning_strategy=center_on_screen&amp;_doc_docfn=U2FsdGVkX18ABXrSrDqmQxQ4CJORv7w7//yY1KhvW1BoA+UV5FI8I6/zIe4NjHjaFkNm+JkkVV7zDay5RFWvX2SasdkFifNNezSIJYDZ+gE=&amp;_app_id=central_doc_viewer&amp;center_on_screen=true&amp;width=950&amp;height=800&amp;_dd2=%26f%3Dsld%26c%3Dtrue%26os%3D168024%26oe%3D168031" xr:uid="{6F23A615-2602-49D5-B23A-34F02414B7BA}"/>
    <hyperlink ref="F21" r:id="rId67" display="fdsup://factset/Doc Viewer Single?float_window=true&amp;positioning_strategy=center_on_screen&amp;_doc_docfn=U2FsdGVkX1+1J/YMpWKE1n0FeeBwil/h5BPc5rNPLEUr5tSn+yW024dir3DRqJYOT3ban14HAsb5k520Uylm4OQfs1sesqUx9jFeap1DZYA=&amp;_app_id=central_doc_viewer&amp;center_on_screen=true&amp;width=950&amp;height=800&amp;_dd2=%26f%3Dsld%26c%3Dtrue%26os%3D245965%26oe%3D245968" xr:uid="{96CC7174-5C85-4D53-ACFA-25096E558B86}"/>
    <hyperlink ref="G21" r:id="rId68" display="fdsup://factset/Doc Viewer Single?float_window=true&amp;positioning_strategy=center_on_screen&amp;_doc_docfn=U2FsdGVkX1/JgV4a1sYcRxn2AuXMOhr4ZM3oCdiR9mHAUXyLr3GP7zwHQTeq+RjHEQb6HV11SNtQ8kHSNN8IAyYPKuOaMkH6fLhn83kHrJs=&amp;_app_id=central_doc_viewer&amp;center_on_screen=true&amp;width=950&amp;height=800&amp;_dd2=%26f%3Dsld%26c%3Dtrue%26os%3D426821%26oe%3D426826" xr:uid="{08258457-94D7-4F22-B31E-49B39566B5D5}"/>
    <hyperlink ref="H21" r:id="rId69" display="fdsup://factset/Doc Viewer Single?float_window=true&amp;positioning_strategy=center_on_screen&amp;_doc_docfn=U2FsdGVkX1+kTzfqj3OnQGQWPrpazK9sprtqUDxiH8wZ7N3mJo5VMIcNBsOIk+HBew0En6frMjEzVVo9J9rz3vUmvcGDXL/afewvkThN1Ic=&amp;_app_id=central_doc_viewer&amp;center_on_screen=true&amp;width=950&amp;height=800&amp;_dd2=%26f%3Dsld%26c%3Dtrue%26os%3D262150%26oe%3D262157" xr:uid="{7FDE03E8-DADA-408C-BB44-A7A5D146005B}"/>
    <hyperlink ref="I21" r:id="rId70" display="fdsup://factset/Doc Viewer Single?float_window=true&amp;positioning_strategy=center_on_screen&amp;_doc_docfn=U2FsdGVkX18/NIE+0vp0A/pZrZV2JYblUzZTBu8B4ICKpxWMwQApOOV36ahA0zxHVIY8ZRklPv6Mq0nHibZwTDmOB6KbPYx0KOr2FQfbpb8=&amp;_app_id=central_doc_viewer&amp;center_on_screen=true&amp;width=950&amp;height=800&amp;_dd2=%26f%3Dsld%26c%3Dtrue%26os%3D245652%26oe%3D245659" xr:uid="{687C532A-C0CD-466D-8148-87E1F7844A94}"/>
    <hyperlink ref="J21" r:id="rId71" display="fdsup://factset/Doc Viewer Single?float_window=true&amp;positioning_strategy=center_on_screen&amp;_doc_docfn=U2FsdGVkX19yM3nxdYxDJcDTfu0vxGuZgxN7fEE8zRaPtHxgE5gAd8IaAGBUVAiArqnfxKboqX3/pqJmzw+8UNynB+K5MjJgDIj5/Z6QVb0=&amp;_app_id=central_doc_viewer&amp;center_on_screen=true&amp;width=950&amp;height=800&amp;_dd2=%26f%3Dsld%26c%3Dtrue%26os%3D246928%26oe%3D246935" xr:uid="{7EB1216B-7801-43DC-AB96-642AB7206C4A}"/>
    <hyperlink ref="K21" r:id="rId72" display="fdsup://factset/Doc Viewer Single?float_window=true&amp;positioning_strategy=center_on_screen&amp;_doc_docfn=U2FsdGVkX1/8xBQb5cskSbu/59ByxAOKI9swIDaK1KyKHYFxigM47s++jtczeQLBi+9DLIprRBLZx/4DLDY6D4oSEPfra0XGuLYnpYugzvQ=&amp;_app_id=central_doc_viewer&amp;center_on_screen=true&amp;width=950&amp;height=800&amp;_dd2=%26f%3Dsld%26c%3Dtrue%26os%3D258176%26oe%3D258183" xr:uid="{586F75F9-4C3D-44E6-B153-B307A76EAA06}"/>
    <hyperlink ref="B22" r:id="rId73" display="fdsup://factset/Doc Viewer Single?float_window=true&amp;positioning_strategy=center_on_screen&amp;_doc_docfn=U2FsdGVkX1+QeOvuq4q2xlOdP62LOQ3x6G04sdPDtMAdib5W7bAvaRwjrvc5LmoULfJdVPB7zQPC6WI0CUa2eWZfOlom6/jsXgbeXBtVLm4=&amp;_app_id=central_doc_viewer&amp;center_on_screen=true&amp;width=950&amp;height=800&amp;_dd2=%26f%3Dsld%26c%3Dtrue%26os%3D157131%26oe%3D157138" xr:uid="{CAC4C399-A605-4E44-B62D-CDD0ECF590B4}"/>
    <hyperlink ref="C22" r:id="rId74" display="fdsup://factset/Doc Viewer Single?float_window=true&amp;positioning_strategy=center_on_screen&amp;_doc_docfn=U2FsdGVkX1/b7RwDgfSGDBC/tCABs4TlyX+xza2WE3Gm90V6ZXAl9y6ugALCg9KvC56hwZ0bYCDmwJPBKITU5YGbKQvBxZ45d1s7p8jzL1Y=&amp;_app_id=central_doc_viewer&amp;center_on_screen=true&amp;width=950&amp;height=800&amp;_dd2=%26f%3Dsld%26c%3Dtrue%26os%3D161409%26oe%3D161416" xr:uid="{AB39347F-8812-4541-8459-A2245D0361F7}"/>
    <hyperlink ref="D22" r:id="rId75" display="fdsup://factset/Doc Viewer Single?float_window=true&amp;positioning_strategy=center_on_screen&amp;_doc_docfn=U2FsdGVkX1/yLVVkr5tgXotIUFHRh58Zwsw+p1PbSsJBJxy4N5czXT8ygODswL3JWdwdU473/3nMjpWcJoEEWvqlsMP2fXRkt3jpU6U7vi8=&amp;_app_id=central_doc_viewer&amp;center_on_screen=true&amp;width=950&amp;height=800&amp;_dd2=%26f%3Dsld%26c%3Dtrue%26os%3D165690%26oe%3D165695" xr:uid="{47A6EA2F-21D4-463E-97A9-E4ECF9A1CFA8}"/>
    <hyperlink ref="E22" r:id="rId76" display="fdsup://factset/Doc Viewer Single?float_window=true&amp;positioning_strategy=center_on_screen&amp;_doc_docfn=U2FsdGVkX1+OiZNBxMo/0zN8wlni/nn3m0YDysvyNxjXXrf4gFyhEFsUzwxV2U3BWdDmyVxJE5vC0b8tO4DHJIRrsVdTSlnLyCnw0M6zBf4=&amp;_app_id=central_doc_viewer&amp;center_on_screen=true&amp;width=950&amp;height=800&amp;_dd2=%26f%3Dsld%26c%3Dtrue%26os%3D168829%26oe%3D168834" xr:uid="{7DF2C2E7-1498-485F-9436-BB21E75ECFC4}"/>
    <hyperlink ref="F22" r:id="rId77" display="fdsup://factset/Doc Viewer Single?float_window=true&amp;positioning_strategy=center_on_screen&amp;_doc_docfn=U2FsdGVkX1/xpU7kPig16nGQWfIGR57M5sI02ONCzqTbfn/Kk21kD7OAMI0wnAv6V6VOUOTRdzG88ULmbhLrmbrDDLfXiM2IVzVHyhu0j7k=&amp;_app_id=central_doc_viewer&amp;center_on_screen=true&amp;width=950&amp;height=800&amp;_dd2=%26f%3Dsld%26c%3Dtrue%26os%3D246711%26oe%3D246718" xr:uid="{5794B957-3399-4013-8C62-05210D41C108}"/>
    <hyperlink ref="G22" r:id="rId78" display="fdsup://factset/Doc Viewer Single?float_window=true&amp;positioning_strategy=center_on_screen&amp;_doc_docfn=U2FsdGVkX1+Dp7yGHQjD23MmHQB8yTrwpDNhWIu5Z0c01L9mU1Dh2l3pUI5v9lLVw4qTpRL0u0Z3+nPLcgrCNlb4FDXcGGZ9wSfQgl5wNTg=&amp;_app_id=central_doc_viewer&amp;center_on_screen=true&amp;width=950&amp;height=800&amp;_dd2=%26f%3Dsld%26c%3Dtrue%26os%3D427564%26oe%3D427571" xr:uid="{444A3B97-4B23-4FD8-9CE8-13528B660043}"/>
    <hyperlink ref="H22" r:id="rId79" display="fdsup://factset/Doc Viewer Single?float_window=true&amp;positioning_strategy=center_on_screen&amp;_doc_docfn=U2FsdGVkX19+YPIF3QRQlYusjTPXRLNqFAaZ1XUTHgNizJuvQZUFs1TWVBu/taBlXGq6L05uyrEsRmN48P5JvEj1ErE3EtcnQjcyM7lzIKg=&amp;_app_id=central_doc_viewer&amp;center_on_screen=true&amp;width=950&amp;height=800&amp;_dd2=%26f%3Dsld%26c%3Dtrue%26os%3D262892%26oe%3D262899" xr:uid="{70C65592-A586-4318-84FD-E5D17853CA96}"/>
    <hyperlink ref="I22" r:id="rId80" display="fdsup://factset/Doc Viewer Single?float_window=true&amp;positioning_strategy=center_on_screen&amp;_doc_docfn=U2FsdGVkX183cqpsbO6zDqEMUIXlJnOclOFQPAyl9nks2wI81bkKXG54uXHAm3wu705nj5Dmr5vfCDboJHP38x5IZjXVQ3fZyAeHpb9IoCY=&amp;_app_id=central_doc_viewer&amp;center_on_screen=true&amp;width=950&amp;height=800&amp;_dd2=%26f%3Dsld%26c%3Dtrue%26os%3D246399%26oe%3D246406" xr:uid="{407C9403-FADE-4CF1-88D1-039B656BF195}"/>
    <hyperlink ref="J22" r:id="rId81" display="fdsup://factset/Doc Viewer Single?float_window=true&amp;positioning_strategy=center_on_screen&amp;_doc_docfn=U2FsdGVkX19oCk+1i8y/LgMhW9uJYdQRpX2lMdf8OrFnkklH9gXAVx7rGYHXMVPKhoGPW6bwYUNaSw0mzV7CYr3vDFnPQC4eNCtVVgLR5Ik=&amp;_app_id=central_doc_viewer&amp;center_on_screen=true&amp;width=950&amp;height=800&amp;_dd2=%26f%3Dsld%26c%3Dtrue%26os%3D247678%26oe%3D247685" xr:uid="{4E328230-DFD9-4A32-A4D9-0C5D6188F72B}"/>
    <hyperlink ref="K22" r:id="rId82" display="fdsup://factset/Doc Viewer Single?float_window=true&amp;positioning_strategy=center_on_screen&amp;_doc_docfn=U2FsdGVkX1+v1ylcBv9cD/nmXVxCm29rFKzdyae8LozCS/zY5Av0jrxqk+kP0YSQiRinEHBNtW9CW9A8K7u/5tOAs6Aj04TlV62hsHZUbbU=&amp;_app_id=central_doc_viewer&amp;center_on_screen=true&amp;width=950&amp;height=800&amp;_dd2=%26f%3Dsld%26c%3Dtrue%26os%3D258926%26oe%3D258933" xr:uid="{DA9A039F-7295-4948-B831-6F785E7E6512}"/>
    <hyperlink ref="B23" r:id="rId83" display="fdsup://factset/Doc Viewer Single?float_window=true&amp;positioning_strategy=center_on_screen&amp;_doc_docfn=U2FsdGVkX19waM4psgwzgtmpFqeF3NCZGwH2u1wdetgzBEOk/PUhPdzpLdIRX/NIqnyPPLPgWJv4BrzW8Phfg+Tl8+nwRN+A+TSuweIEp90=&amp;_app_id=central_doc_viewer&amp;center_on_screen=true&amp;width=950&amp;height=800&amp;_dd2=%26f%3Dsld%26c%3Dtrue%26os%3D157954%26oe%3D157959" xr:uid="{6437CFC6-2AC5-4ECB-8A7F-E748BC4D9B0F}"/>
    <hyperlink ref="C23" r:id="rId84" display="fdsup://factset/Doc Viewer Single?float_window=true&amp;positioning_strategy=center_on_screen&amp;_doc_docfn=U2FsdGVkX1/DDDdkIfqwRY84n1gNs9fpEmZucYP/+dnN6k9rr3DmiphPbiX/TzjiDvTTq47Qc4QQIEdPA1OaBk9LutWLHDE079gR0G3uUJk=&amp;_app_id=central_doc_viewer&amp;center_on_screen=true&amp;width=950&amp;height=800&amp;_dd2=%26f%3Dsld%26c%3Dtrue%26os%3D162235%26oe%3D162240" xr:uid="{D1BE29A1-2A8E-4DFF-8ED1-12DF51A72E91}"/>
    <hyperlink ref="D23" r:id="rId85" display="fdsup://factset/Doc Viewer Single?float_window=true&amp;positioning_strategy=center_on_screen&amp;_doc_docfn=U2FsdGVkX18+j0oJBIGw+YvG5igaIWRj88wVs2r59M1r43Z8+Y/aE1jn9Z2n554jk3tyR94KpJA1arYqFrsZ3g6YaSNK5aBu9mAW8FBcrcw=&amp;_app_id=central_doc_viewer&amp;center_on_screen=true&amp;width=950&amp;height=800&amp;_dd2=%26f%3Dsld%26c%3Dtrue%26os%3D166517%26oe%3D166522" xr:uid="{C4E374DD-FBBE-497F-AA78-97A73AD2E059}"/>
    <hyperlink ref="E23" r:id="rId86" display="fdsup://factset/Doc Viewer Single?float_window=true&amp;positioning_strategy=center_on_screen&amp;_doc_docfn=U2FsdGVkX18yLEhhAa+3ewiCeosnhuUOLxb34ekuqkVSjak7XgBlaqzqA0d7d/oROjxEgT0PYyPcSEXLCh2GECwrZCgkiaT0dNIaYc5wJT8=&amp;_app_id=central_doc_viewer&amp;center_on_screen=true&amp;width=950&amp;height=800&amp;_dd2=%26f%3Dsld%26c%3Dtrue%26os%3D169653%26oe%3D169658" xr:uid="{A35F9077-20D8-42B0-96DD-480C43D9EE47}"/>
    <hyperlink ref="F23" r:id="rId87" display="fdsup://factset/Doc Viewer Single?float_window=true&amp;positioning_strategy=center_on_screen&amp;_doc_docfn=U2FsdGVkX19IDZZTfEtnzaVtVnhruGgIEDRzYaJHck79ClPhUrB4ZibQM3CVc1ChCOMIqJfPj65beFHRZC1doLwZQ1da8lM5KOdJ9EGUUQU=&amp;_app_id=central_doc_viewer&amp;center_on_screen=true&amp;width=950&amp;height=800&amp;_dd2=%26f%3Dsld%26c%3Dtrue%26os%3D247478%26oe%3D247483" xr:uid="{D9DE5DCE-F6D7-4827-A5F7-AECFF9A14270}"/>
    <hyperlink ref="G23" r:id="rId88" display="fdsup://factset/Doc Viewer Single?float_window=true&amp;positioning_strategy=center_on_screen&amp;_doc_docfn=U2FsdGVkX18IELcaRnUM+i8Nq5IBWfiQI9nouZSTBkFa/uiF0lpmAAUM+eUBtWmoZtkgHJYUiP6QrQWEFxGss1oxZ54UJL2thaiRcwXbn3s=&amp;_app_id=central_doc_viewer&amp;center_on_screen=true&amp;width=950&amp;height=800&amp;_dd2=%26f%3Dsld%26c%3Dtrue%26os%3D428333%26oe%3D428336" xr:uid="{AF435C7E-1CD0-49F1-95B5-453ECE0B23A8}"/>
    <hyperlink ref="H23" r:id="rId89" display="fdsup://factset/Doc Viewer Single?float_window=true&amp;positioning_strategy=center_on_screen&amp;_doc_docfn=U2FsdGVkX18hT+IMUkLHfOGTBDd7EyRbIS1YtLPfzzPgz5Xn8dJWv+9uElm1mrqvvq2NMv4LTCll2EHQdMusy4QitDws07anMHRYpDksfQk=&amp;_app_id=central_doc_viewer&amp;center_on_screen=true&amp;width=950&amp;height=800&amp;_dd2=%26f%3Dsld%26c%3Dtrue%26os%3D263665%26oe%3D263670" xr:uid="{87A74AA9-346E-4412-9C5A-6FAE332FB884}"/>
    <hyperlink ref="I23" r:id="rId90" display="fdsup://factset/Doc Viewer Single?float_window=true&amp;positioning_strategy=center_on_screen&amp;_doc_docfn=U2FsdGVkX19BSWo4bLRhfh+tjrwVHfaM77xNN47hyFbkYTIW+TszadkWLlZ0EUZUGiiiJFyhcaqBhwl2hY4fto5iFJPVDAXlJlEOb2CEXTg=&amp;_app_id=central_doc_viewer&amp;center_on_screen=true&amp;width=950&amp;height=800&amp;_dd2=%26f%3Dsld%26c%3Dtrue%26os%3D247172%26oe%3D247177" xr:uid="{6B6135B8-D42C-4D2C-9532-F2346B1A1F0F}"/>
    <hyperlink ref="J23" r:id="rId91" display="fdsup://factset/Doc Viewer Single?float_window=true&amp;positioning_strategy=center_on_screen&amp;_doc_docfn=U2FsdGVkX197/sQ7sx8l3KvYIczEPCfRgUbR6gILwhy4+oXgn3/WM0zf5PVb5GG7u1Yy1ARXeluggYBHZqTnX+ay/FNbeN2Ii7d2PEh9KMM=&amp;_app_id=central_doc_viewer&amp;center_on_screen=true&amp;width=950&amp;height=800&amp;_dd2=%26f%3Dsld%26c%3Dtrue%26os%3D248451%26oe%3D248456" xr:uid="{38FE8780-0C8C-4F0D-8524-A88F89541EF9}"/>
    <hyperlink ref="K23" r:id="rId92" display="fdsup://factset/Doc Viewer Single?float_window=true&amp;positioning_strategy=center_on_screen&amp;_doc_docfn=U2FsdGVkX1+hJCjEAGH5WiNJWgcEw2mixhjtSeX7699DGq2E+LN4Y+uOXe3xeWR2kTkqGxcoJ0FUUPQYV1+s/nO1goK9mv2ZJVdx9V1y5BE=&amp;_app_id=central_doc_viewer&amp;center_on_screen=true&amp;width=950&amp;height=800&amp;_dd2=%26f%3Dsld%26c%3Dtrue%26os%3D259699%26oe%3D259704" xr:uid="{40C9BE4E-66CA-4DF9-8797-2AD42BFB03E5}"/>
    <hyperlink ref="C24" r:id="rId93" display="fdsup://factset/Doc Viewer Single?float_window=true&amp;positioning_strategy=center_on_screen&amp;_doc_docfn=U2FsdGVkX1+D/9rI4Tiz44HJp8uy28DZhsQw5ECju5eZ/GYelNYv6qrqxmWPIw6xOD1Qg7/T9j4pxF8NGVW7Swec+TJZw2AJpErIKxWpbGI=&amp;_app_id=central_doc_viewer&amp;center_on_screen=true&amp;width=950&amp;height=800&amp;_dd2=%26f%3Dsld%26c%3Dtrue%26os%3D163098%26oe%3D163103" xr:uid="{1FCB882F-504B-4CEA-857F-F5D5BBF1F91A}"/>
    <hyperlink ref="D24" r:id="rId94" display="fdsup://factset/Doc Viewer Single?float_window=true&amp;positioning_strategy=center_on_screen&amp;_doc_docfn=U2FsdGVkX1+8RuXYtbziNZlq1keDB6Gr4esdnyLdHIa12oPVloyzblwl5bPsuCndu5vvjKAX5N8Eya71Zp35lBr+OeiJm6S+bHkTKCqQZB8=&amp;_app_id=central_doc_viewer&amp;center_on_screen=true&amp;width=950&amp;height=800&amp;_dd2=%26f%3Dsld%26c%3Dtrue%26os%3D167382%26oe%3D167385" xr:uid="{1FDEBC98-CA44-49DB-851F-50762F7CE1A1}"/>
    <hyperlink ref="E24" r:id="rId95" display="fdsup://factset/Doc Viewer Single?float_window=true&amp;positioning_strategy=center_on_screen&amp;_doc_docfn=U2FsdGVkX19bTfcjdoTTwmzwmvn6KaJXUADIR6yq1TK/YnmKwICQXXdxvj6P8VjDilMr3wUvwNLT6vPksmnY6F2Dxb5pDKlnVXf8iJpYdzk=&amp;_app_id=central_doc_viewer&amp;center_on_screen=true&amp;width=950&amp;height=800&amp;_dd2=%26f%3Dsld%26c%3Dtrue%26os%3D170518%26oe%3D170521" xr:uid="{BEDC11B1-1278-4CEB-ACA8-EA4865601A76}"/>
    <hyperlink ref="F24" r:id="rId96" display="fdsup://factset/Doc Viewer Single?float_window=true&amp;positioning_strategy=center_on_screen&amp;_doc_docfn=U2FsdGVkX194XzHOVBAMDbISPuvBlWfTp+er/69oLz3hrU90P54bf9ekdAVht4G8FQa/lXtAqtrtGNZxZMvZamqXKHzgpvHJqZmCfRwxrOY=&amp;_app_id=central_doc_viewer&amp;center_on_screen=true&amp;width=950&amp;height=800&amp;_dd2=%26f%3Dsld%26c%3Dtrue%26os%3D248287%26oe%3D248290" xr:uid="{CB29F710-5958-4067-9B72-A67B6DC86FCA}"/>
    <hyperlink ref="G24" r:id="rId97" display="fdsup://factset/Doc Viewer Single?float_window=true&amp;positioning_strategy=center_on_screen&amp;_doc_docfn=U2FsdGVkX190wlJ+wlpC3AUIeIbs/wQw9MnWG46oTUOXKnspail0iXwmcShmlCLFXPj12NEIZhAtGKMrKSsj70NW1M/pYTRF5VaE7aNfDVU=&amp;_app_id=central_doc_viewer&amp;center_on_screen=true&amp;width=950&amp;height=800&amp;_dd2=%26f%3Dsld%26c%3Dtrue%26os%3D429141%26oe%3D429146" xr:uid="{6A827AE4-4FE0-44DC-A32A-EF1E36D21695}"/>
    <hyperlink ref="H24" r:id="rId98" display="fdsup://factset/Doc Viewer Single?float_window=true&amp;positioning_strategy=center_on_screen&amp;_doc_docfn=U2FsdGVkX1/jSJ828Km4URCQQs5brS9qA3OAUkjZgO4O3eFMDxDqGxWjgC4Qh8MVvqVVUOLZCfpzbh9WfKFlgvx0zzKXVLl0PWRF6CWdoVA=&amp;_app_id=central_doc_viewer&amp;center_on_screen=true&amp;width=950&amp;height=800&amp;_dd2=%26f%3Dsld%26c%3Dtrue%26os%3D264472%26oe%3D264477" xr:uid="{EBDE54EE-C239-4D80-ACB4-7D0A8992E2C7}"/>
    <hyperlink ref="I24" r:id="rId99" display="fdsup://factset/Doc Viewer Single?float_window=true&amp;positioning_strategy=center_on_screen&amp;_doc_docfn=U2FsdGVkX1+KRMR4f6MSUiznBnC25mIW5Pwu3hxexrvRwxx2tBwGuXuqxZrsvpwvwunpw1L6fRP6CMo+TCPB2hLEyivqqTg0Ol73OWmVl+Q=&amp;_app_id=central_doc_viewer&amp;center_on_screen=true&amp;width=950&amp;height=800&amp;_dd2=%26f%3Dsld%26c%3Dtrue%26os%3D247979%26oe%3D247984" xr:uid="{8FF8E6E3-4107-4493-ABBF-3B5D3D2CC168}"/>
    <hyperlink ref="J24" r:id="rId100" display="fdsup://factset/Doc Viewer Single?float_window=true&amp;positioning_strategy=center_on_screen&amp;_doc_docfn=U2FsdGVkX1/YCXsQM/G847/xeHPWyaGl0P1QbOXHBZhQFM99X4rzbp7cMNAInSC3IrSumS5pG3KEidOTDsoQR/WSE/iTV6rxxIoT6L+iebc=&amp;_app_id=central_doc_viewer&amp;center_on_screen=true&amp;width=950&amp;height=800&amp;_dd2=%26f%3Dsld%26c%3Dtrue%26os%3D249261%26oe%3D249266" xr:uid="{46EDAD6C-957A-4B38-8062-418EA9820AFB}"/>
    <hyperlink ref="K24" r:id="rId101" display="fdsup://factset/Doc Viewer Single?float_window=true&amp;positioning_strategy=center_on_screen&amp;_doc_docfn=U2FsdGVkX19fvOoWYMpGQS5gSB/Trquw5hAQ1XDCUvdORwLODpmjGi3SQiaDY90kKga9A1PGgQtacWpukTao7awKkdpDvVmcM/oQTtvTL3k=&amp;_app_id=central_doc_viewer&amp;center_on_screen=true&amp;width=950&amp;height=800&amp;_dd2=%26f%3Dsld%26c%3Dtrue%26os%3D260509%26oe%3D260514" xr:uid="{0BAA24F4-0D93-4AE6-BE3D-117406B7C8C6}"/>
    <hyperlink ref="B25" r:id="rId102" display="fdsup://factset/Doc Viewer Single?float_window=true&amp;positioning_strategy=center_on_screen&amp;_doc_docfn=U2FsdGVkX18a5OISybewhlcb+Wq1ePvvhFPKtdFbDArYiBchuI7p5qXpRlEPdCVtuZBxbqEzlWOzp5eGJuhPDTmYEKTdTs19bY8Nyf0A+rk=&amp;_app_id=central_doc_viewer&amp;center_on_screen=true&amp;width=950&amp;height=800&amp;_dd2=%26f%3Dsld%26c%3Dtrue%26os%3D158813%26oe%3D158816" xr:uid="{F02CABEE-2024-47AE-91C3-417A724F786E}"/>
    <hyperlink ref="B26" r:id="rId103" display="fdsup://factset/Doc Viewer Single?float_window=true&amp;positioning_strategy=center_on_screen&amp;_doc_docfn=U2FsdGVkX1+lgZZBhMsVLNgUiz08r1kva/mOG7fylVTt4VKqQNSv4e/f+sa0GNW/gkr2v0Kxn4VSnmNFBLcINFYSAz6ZpXbsTIl7btOfGV0=&amp;_app_id=central_doc_viewer&amp;center_on_screen=true&amp;width=950&amp;height=800&amp;_dd2=%26f%3Dsld%26c%3Dtrue%26os%3D159657%26oe%3D159660" xr:uid="{8C51CCE8-EBC5-4547-BDB1-1C5DA028AF53}"/>
    <hyperlink ref="B27" r:id="rId104" display="fdsup://factset/Doc Viewer Single?float_window=true&amp;positioning_strategy=center_on_screen&amp;_doc_docfn=U2FsdGVkX194ZPxE12G74Kr/FuBDdQhQChzMBd7CQONcuc/UHNlcfFYkGW2Wmo440w1g3A2GG8d43AEViu5ao0SHS/o9YFscC1iOzvRZdVU=&amp;_app_id=central_doc_viewer&amp;center_on_screen=true&amp;width=950&amp;height=800&amp;_dd2=%26f%3Dsld%26c%3Dtrue%26os%3D160456%26oe%3D160459" xr:uid="{2953C379-CFB6-4759-B7BD-E9F798CD6525}"/>
    <hyperlink ref="C27" r:id="rId105" display="fdsup://factset/Doc Viewer Single?float_window=true&amp;positioning_strategy=center_on_screen&amp;_doc_docfn=U2FsdGVkX19vuVzqB6PJ7POUi3Wvc+lE83osimDF0bTqipGLM4PDDZ0I7jhkUh97JKQRCVfKnHqmqYvfgXzdbglczHkisxO3z4hZLiihCG4=&amp;_app_id=central_doc_viewer&amp;center_on_screen=true&amp;width=950&amp;height=800&amp;_dd2=%26f%3Dsld%26c%3Dtrue%26os%3D163933%26oe%3D163938" xr:uid="{6AD7CC26-47F1-433A-AE01-6EF6CAA93E67}"/>
    <hyperlink ref="D27" r:id="rId106" display="fdsup://factset/Doc Viewer Single?float_window=true&amp;positioning_strategy=center_on_screen&amp;_doc_docfn=U2FsdGVkX19gj60GyMMZLb/jsYz40VjBdJkXAoZdxJNqypdOM+0l9quTi5H3QHdU4ES8DGml6GwJH6kpVPgTY6j4PR1NUHrdfiU2eLNrPyI=&amp;_app_id=central_doc_viewer&amp;center_on_screen=true&amp;width=950&amp;height=800&amp;_dd2=%26f%3Dsld%26c%3Dtrue%26os%3D168215%26oe%3D168218" xr:uid="{C5B093A1-CB6F-4B7C-8AAC-70A74625B514}"/>
    <hyperlink ref="E27" r:id="rId107" display="fdsup://factset/Doc Viewer Single?float_window=true&amp;positioning_strategy=center_on_screen&amp;_doc_docfn=U2FsdGVkX19D4owiVx8aNTk+ekhv1sBGwjvDT6TB7UHR+uSFcakwJx5oJ4OOb9WOGXhgIowAxwbe18OBGk7MqOoBmNJvXx2jjOOPSHVxXRU=&amp;_app_id=central_doc_viewer&amp;center_on_screen=true&amp;width=950&amp;height=800&amp;_dd2=%26f%3Dsld%26c%3Dtrue%26os%3D171347%26oe%3D171349" xr:uid="{4C39755E-B18D-47E1-AB96-7EEF7425FDF0}"/>
    <hyperlink ref="F27" r:id="rId108" display="fdsup://factset/Doc Viewer Single?float_window=true&amp;positioning_strategy=center_on_screen&amp;_doc_docfn=U2FsdGVkX1+IyN61PWPcUFow5GgJPeQ3R65juZApNEXzliCQz3jacM/NJP0AsmfHOuBSBLPYnoGREFo8nRvA7LxKjXXEDLoLmW+AokcJzz8=&amp;_app_id=central_doc_viewer&amp;center_on_screen=true&amp;width=950&amp;height=800&amp;_dd2=%26f%3Dsld%26c%3Dtrue%26os%3D249058%26oe%3D249061" xr:uid="{CEB2BF34-283B-4AB9-8E03-923435D885F2}"/>
    <hyperlink ref="G27" r:id="rId109" display="fdsup://factset/Doc Viewer Single?float_window=true&amp;positioning_strategy=center_on_screen&amp;_doc_docfn=U2FsdGVkX1+nUjSnTKr8vr+ZjSf8JHv1KdcqZ9T3YycSJwymoMPGRHVGHZ8nlA9a8j55WPzS1JYFAdzA8z9Vyypr/qsh90k5EH9SXnevDtU=&amp;_app_id=central_doc_viewer&amp;center_on_screen=true&amp;width=950&amp;height=800&amp;_dd2=%26f%3Dsld%26c%3Dtrue%26os%3D429914%26oe%3D429917" xr:uid="{2BC5B74B-80ED-48C7-AE85-5410D71E8A9D}"/>
    <hyperlink ref="H27" r:id="rId110" display="fdsup://factset/Doc Viewer Single?float_window=true&amp;positioning_strategy=center_on_screen&amp;_doc_docfn=U2FsdGVkX1/vWYKMZxq4IQvditIIcibv9EZr/+eZlaGoivh8mW1mZkcxOsJzI2DRyfSrS79S+DcO+ey1tXyo2dehbcYu3qHRvyDf+iZqvdw=&amp;_app_id=central_doc_viewer&amp;center_on_screen=true&amp;width=950&amp;height=800&amp;_dd2=%26f%3Dsld%26c%3Dtrue%26os%3D265248%26oe%3D265253" xr:uid="{6640A487-0CA3-4B01-81A6-B63D5E8E8DBB}"/>
    <hyperlink ref="I27" r:id="rId111" display="fdsup://factset/Doc Viewer Single?float_window=true&amp;positioning_strategy=center_on_screen&amp;_doc_docfn=U2FsdGVkX19Xg+nEg/hJRZS+df9Mao9+RAwdasTJIxjNkAlAq14NWcMFh/EZtRVeGYtzH3L58Toaj/+yMP9Xv0wP980oPhviklN1YNpTWJc=&amp;_app_id=central_doc_viewer&amp;center_on_screen=true&amp;width=950&amp;height=800&amp;_dd2=%26f%3Dsld%26c%3Dtrue%26os%3D248758%26oe%3D248761" xr:uid="{D81183C9-C765-42DA-9924-925D12F1FE6F}"/>
    <hyperlink ref="J27" r:id="rId112" display="fdsup://factset/Doc Viewer Single?float_window=true&amp;positioning_strategy=center_on_screen&amp;_doc_docfn=U2FsdGVkX1+1O13172srKqbhSzKsnznDBZfjG9/zkB2YoiSazwg3ZCxPQ/BDCmjs3sPXAWxd3XLFrn4DcLJwiSXd5T3BMQ3i/Mw4qf1zleY=&amp;_app_id=central_doc_viewer&amp;center_on_screen=true&amp;width=950&amp;height=800&amp;_dd2=%26f%3Dsld%26c%3Dtrue%26os%3D250040%26oe%3D250043" xr:uid="{F59F3AC3-F38D-4A92-9925-EB8B6F22EE50}"/>
    <hyperlink ref="K27" r:id="rId113" display="fdsup://factset/Doc Viewer Single?float_window=true&amp;positioning_strategy=center_on_screen&amp;_doc_docfn=U2FsdGVkX19n8PQR/khk3A8BdWDcUnSVkEd0HhxKwoJBkks3KVqYgpu72LM6CPUX7b8Lf0J5VPOkajqXfY0hz4SsMfdEdA8rUKM/UzXROs4=&amp;_app_id=central_doc_viewer&amp;center_on_screen=true&amp;width=950&amp;height=800&amp;_dd2=%26f%3Dsld%26c%3Dtrue%26os%3D261288%26oe%3D261293" xr:uid="{D8F2418A-E403-451A-9E74-E1068357F502}"/>
    <hyperlink ref="B28" r:id="rId114" display="fdsup://factset/Doc Viewer Single?float_window=true&amp;positioning_strategy=center_on_screen&amp;_doc_docfn=U2FsdGVkX191bxCNrbqh1vzHQjmHEoEm/ycxdJBTDds6QB4SB3gw0e6NkInh67QEyJ7/FVxZJ1wUkEwxO5lk0OBKturV0D/iT47Y6Lb1rdw=&amp;_app_id=central_doc_viewer&amp;center_on_screen=true&amp;width=950&amp;height=800&amp;_dd2=%26f%3Dsld%26c%3Dtrue%26os%3D167566%26oe%3D167574" xr:uid="{23A3A6A4-6122-447C-8A3C-6F6359044FD6}"/>
    <hyperlink ref="C28" r:id="rId115" display="fdsup://factset/Doc Viewer Single?float_window=true&amp;positioning_strategy=center_on_screen&amp;_doc_docfn=U2FsdGVkX18RzBH+JqN+zbRaFNhEkHcrcfPyKJfQXGScgiqnXBJPqB3bmELjXIx36mcALvdlbroHVn7i9nbOV2IKnnJMxZU8SgtDtkz/8lA=&amp;_app_id=central_doc_viewer&amp;center_on_screen=true&amp;width=950&amp;height=800&amp;_dd2=%26f%3Dsld%26c%3Dtrue%26os%3D171045%26oe%3D171052" xr:uid="{E79FCDA4-78BE-47B6-8CC6-4E8DDD107F02}"/>
    <hyperlink ref="D28" r:id="rId116" display="fdsup://factset/Doc Viewer Single?float_window=true&amp;positioning_strategy=center_on_screen&amp;_doc_docfn=U2FsdGVkX18kw9+3ARB8hwaJSIFCieAAH/01x7PLOuhzFRlZ0PVUsdJCJaJcardkDxKz4sLHWLrU3a1rCzVVcEf2pFDdNLGWqLwp7iApPmU=&amp;_app_id=central_doc_viewer&amp;center_on_screen=true&amp;width=950&amp;height=800&amp;_dd2=%26f%3Dsld%26c%3Dtrue%26os%3D175333%26oe%3D175340" xr:uid="{4F14E17B-75EB-421A-B758-82CC206180FA}"/>
    <hyperlink ref="E28" r:id="rId117" display="fdsup://factset/Doc Viewer Single?float_window=true&amp;positioning_strategy=center_on_screen&amp;_doc_docfn=U2FsdGVkX18RsQWxlLRS83baJBUMA6v5pHhiku7rkchgMMxNt/kGjMIZ/AlSy6xtBCvIGyL6ZpHFzicZoAg+wO7RdZTuNgKPen2RDiebU9c=&amp;_app_id=central_doc_viewer&amp;center_on_screen=true&amp;width=950&amp;height=800&amp;_dd2=%26f%3Dsld%26c%3Dtrue%26os%3D178467%26oe%3D178475" xr:uid="{46BE03E9-F614-4261-BED7-089C70507C6C}"/>
    <hyperlink ref="F28" r:id="rId118" display="fdsup://factset/Doc Viewer Single?float_window=true&amp;positioning_strategy=center_on_screen&amp;_doc_docfn=U2FsdGVkX194SIWCLa5/3ZlQ3sy7o2yRcfjBzC5q2CL0OGkuSe4SqPoaSfGP9sgvdMs3UsK5NU63rgci7EPlgCzoEqtXMYAU06+A+7agwyU=&amp;_app_id=central_doc_viewer&amp;center_on_screen=true&amp;width=950&amp;height=800&amp;_dd2=%26f%3Dsld%26c%3Dtrue%26os%3D255690%26oe%3D255698" xr:uid="{61222C1A-7001-4285-B777-A65FB3C9310C}"/>
    <hyperlink ref="G28" r:id="rId119" display="fdsup://factset/Doc Viewer Single?float_window=true&amp;positioning_strategy=center_on_screen&amp;_doc_docfn=U2FsdGVkX18FqM4DbrO0gP3D8iqMa/YJRfvLwsbsV8Cm+3XieUXl1O5N+aexrknKkOBbC9LcZT/bjxF7oezpFqS3nqMuBJ+zWSEm7wWLEJw=&amp;_app_id=central_doc_viewer&amp;center_on_screen=true&amp;width=950&amp;height=800&amp;_dd2=%26f%3Dsld%26c%3Dtrue%26os%3D436546%26oe%3D436554" xr:uid="{6D6F7C44-1404-4B6F-9788-4BB2C894B76C}"/>
    <hyperlink ref="H28" r:id="rId120" display="fdsup://factset/Doc Viewer Single?float_window=true&amp;positioning_strategy=center_on_screen&amp;_doc_docfn=U2FsdGVkX1+8+2DaxY6SFiuGVnjEKOXmsf4UzjhOhVj+0uSgL6FUztoAxHdKw1ep9g48cv3u9SfAD2KB3zr7YoYZhbP1hynmZ9ezy46a5Mg=&amp;_app_id=central_doc_viewer&amp;center_on_screen=true&amp;width=950&amp;height=800&amp;_dd2=%26f%3Dsld%26c%3Dtrue%26os%3D271899%26oe%3D271907" xr:uid="{C67BC1D0-F438-4E02-B67A-7687C7664B3A}"/>
    <hyperlink ref="I28" r:id="rId121" display="fdsup://factset/Doc Viewer Single?float_window=true&amp;positioning_strategy=center_on_screen&amp;_doc_docfn=U2FsdGVkX1+auHuKtFGYaRf9fe0wLW740yk1EvuoU+50cGZaE0ZAMmfXjEM379t6kg3jJx0evzlavQNXcr5cYtToSizs+YtdGzAihycv6g8=&amp;_app_id=central_doc_viewer&amp;center_on_screen=true&amp;width=950&amp;height=800&amp;_dd2=%26f%3Dsld%26c%3Dtrue%26os%3D256163%26oe%3D256171" xr:uid="{A1236663-C8D8-4541-AB3D-09BD785B7F32}"/>
    <hyperlink ref="J28" r:id="rId122" display="fdsup://factset/Doc Viewer Single?float_window=true&amp;positioning_strategy=center_on_screen&amp;_doc_docfn=U2FsdGVkX1+yQkkIgwfvnSynfLqeyDuDJt2+LS/IiBTWfJ6TtyvTdNhv0LnNSXXNJC5fwqvfSEWxhKfkfkko/lB78L3LoMGCy8tkAhs0r38=&amp;_app_id=central_doc_viewer&amp;center_on_screen=true&amp;width=950&amp;height=800&amp;_dd2=%26f%3Dsld%26c%3Dtrue%26os%3D257447%26oe%3D257455" xr:uid="{D4E2BEA3-36AA-48AD-A21A-B8F7BB08B445}"/>
    <hyperlink ref="K28" r:id="rId123" display="fdsup://factset/Doc Viewer Single?float_window=true&amp;positioning_strategy=center_on_screen&amp;_doc_docfn=U2FsdGVkX18DYpk8cUA1osOntGhpvDBdcVv828mUrW6qD4mYMdP+DGFM+j15FqPbDgrMQeONVAS3OhVe07F+NqxSujFPvKt/5ZhYEU1/yhU=&amp;_app_id=central_doc_viewer&amp;center_on_screen=true&amp;width=950&amp;height=800&amp;_dd2=%26f%3Dsld%26c%3Dtrue%26os%3D270244%26oe%3D270252" xr:uid="{768B3683-6E03-4223-9C0F-2CDC4F965132}"/>
    <hyperlink ref="B30" r:id="rId124" display="fdsup://factset/Doc Viewer Single?float_window=true&amp;positioning_strategy=center_on_screen&amp;_doc_docfn=U2FsdGVkX19YZgceG4TS7ynwWiKGkYDE0jZvJrdKFMVWe0B2p6SzTGFaly/HPbKrhPKVVq/b+WKDHyklA++/IK0I1LMh+ZJEM9OdrAPFUhs=&amp;_app_id=central_doc_viewer&amp;center_on_screen=true&amp;width=950&amp;height=800&amp;_dd2=%26f%3Dsld%26c%3Dtrue%26os%3D162449%26oe%3D162456" xr:uid="{B15A35F1-79E1-40F9-9098-A67E11FBCF60}"/>
    <hyperlink ref="C30" r:id="rId125" display="fdsup://factset/Doc Viewer Single?float_window=true&amp;positioning_strategy=center_on_screen&amp;_doc_docfn=U2FsdGVkX1+ckrV+PsHw88XmVdfkVXqZjw4Kaa02s3bM/15l5I3VZd/FTIkZeqkszAjwc715Qq2f42TE4FXObavJVVnaa6JJEIxuIldun1g=&amp;_app_id=central_doc_viewer&amp;center_on_screen=true&amp;width=950&amp;height=800&amp;_dd2=%26f%3Dsld%26c%3Dtrue%26os%3D165929%26oe%3D165937" xr:uid="{29A538AB-68E7-4B4C-B3F3-0FB8772B3F32}"/>
    <hyperlink ref="D30" r:id="rId126" display="fdsup://factset/Doc Viewer Single?float_window=true&amp;positioning_strategy=center_on_screen&amp;_doc_docfn=U2FsdGVkX1+NexOHh7+omoX4o0Tw4RYuG+5CJOLLs+z/l6GZar1gMIOE9KLOl+6hf16FI41RGomEkHnXhPwtzZltI0lBpobiCLWiAeheJxI=&amp;_app_id=central_doc_viewer&amp;center_on_screen=true&amp;width=950&amp;height=800&amp;_dd2=%26f%3Dsld%26c%3Dtrue%26os%3D170213%26oe%3D170221" xr:uid="{6C87DD63-0600-4FB6-8D12-816724F484A0}"/>
    <hyperlink ref="E30" r:id="rId127" display="fdsup://factset/Doc Viewer Single?float_window=true&amp;positioning_strategy=center_on_screen&amp;_doc_docfn=U2FsdGVkX1/PYg8r+WLKXVoKuJbi1/oIymg5F/z2vJ7WlR2TgHpKOWcZZzQuOd5oF3ALgFMD64Uld6Ny9r3Bejv+zebqIsFlmQlmgdL20Qk=&amp;_app_id=central_doc_viewer&amp;center_on_screen=true&amp;width=950&amp;height=800&amp;_dd2=%26f%3Dsld%26c%3Dtrue%26os%3D173346%26oe%3D173354" xr:uid="{E50B41D4-A54B-4068-A03E-95B28FD894EF}"/>
    <hyperlink ref="F30" r:id="rId128" display="fdsup://factset/Doc Viewer Single?float_window=true&amp;positioning_strategy=center_on_screen&amp;_doc_docfn=U2FsdGVkX19R+BnsDcXyfNKAI9K5W3y40oWEvGjK/Gyj1BEqO686no+HddYcGjbm0JFLAKo1k133nVa3xsw4CpPIuuOUQFry1jaz+E168Go=&amp;_app_id=central_doc_viewer&amp;center_on_screen=true&amp;width=950&amp;height=800&amp;_dd2=%26f%3Dsld%26c%3Dtrue%26os%3D250903%26oe%3D250911" xr:uid="{4F07C8A9-D5B1-48B4-9CA2-FA7C6CA50E87}"/>
    <hyperlink ref="G30" r:id="rId129" display="fdsup://factset/Doc Viewer Single?float_window=true&amp;positioning_strategy=center_on_screen&amp;_doc_docfn=U2FsdGVkX1/x4V0ZWy76x/ukEbV38cwdhT3j8BNtDsjQB4hzeHn6UTkFWelqvufofYDYmvl9S5ouAimxPli8Jla7O/nibF+A4fcjsW/mZ4s=&amp;_app_id=central_doc_viewer&amp;center_on_screen=true&amp;width=950&amp;height=800&amp;_dd2=%26f%3Dsld%26c%3Dtrue%26os%3D431759%26oe%3D431767" xr:uid="{294F7D74-265F-4928-A27A-B36B60BC323D}"/>
    <hyperlink ref="H30" r:id="rId130" display="fdsup://factset/Doc Viewer Single?float_window=true&amp;positioning_strategy=center_on_screen&amp;_doc_docfn=U2FsdGVkX19CAvtzvOv+KpGHLGfgXYzkuwYJH6St6ngKfeAgNDlxCKQGz9Mcyc2zYA3ZCOEChGT/AV7Q3XYIWHi1MJmTyFwZHVL3y+ReblE=&amp;_app_id=central_doc_viewer&amp;center_on_screen=true&amp;width=950&amp;height=800&amp;_dd2=%26f%3Dsld%26c%3Dtrue%26os%3D267097%26oe%3D267105" xr:uid="{A89589E4-32B4-4389-AD3B-D0DEBEC1BA3A}"/>
    <hyperlink ref="I30" r:id="rId131" display="fdsup://factset/Doc Viewer Single?float_window=true&amp;positioning_strategy=center_on_screen&amp;_doc_docfn=U2FsdGVkX18+C4PrytCYEvCu8uVifhnHNNGQZDNnXgFojzHECozQuXd8DOeWXjUNbwCAd3f/1CvZ45VZQ5tv4J+k5GQ5jXPIqAn7TxMAe8o=&amp;_app_id=central_doc_viewer&amp;center_on_screen=true&amp;width=950&amp;height=800&amp;_dd2=%26f%3Dsld%26c%3Dtrue%26os%3D250607%26oe%3D250615" xr:uid="{9E2BB36B-B90E-435B-B398-7C4DC9A485A1}"/>
    <hyperlink ref="J30" r:id="rId132" display="fdsup://factset/Doc Viewer Single?float_window=true&amp;positioning_strategy=center_on_screen&amp;_doc_docfn=U2FsdGVkX18BtlZQa+vFxmgYW40U6uH8c9m6YBt+aVcvjZ0KWI/nVooJTvRMrzYHwcVqdcJ1QOQm5XChuiTCQVcW3dgX46LLicOPZkZjyF0=&amp;_app_id=central_doc_viewer&amp;center_on_screen=true&amp;width=950&amp;height=800&amp;_dd2=%26f%3Dsld%26c%3Dtrue%26os%3D251889%26oe%3D251897" xr:uid="{5BDBFAD0-8B74-4F13-B14A-FA6985E1566D}"/>
    <hyperlink ref="K30" r:id="rId133" display="fdsup://factset/Doc Viewer Single?float_window=true&amp;positioning_strategy=center_on_screen&amp;_doc_docfn=U2FsdGVkX187TG3fMwHEVX9LkOjJVIv91hKaoiiVLTUdqSeVqIISf7w9nJQHTu5zmXMaghFCD17/2iFMkoUun0LlEi8J9neR0XjtKb1XPvs=&amp;_app_id=central_doc_viewer&amp;center_on_screen=true&amp;width=950&amp;height=800&amp;_dd2=%26f%3Dsld%26c%3Dtrue%26os%3D263137%26oe%3D263145" xr:uid="{B205283E-44D5-4810-974B-50360734456E}"/>
    <hyperlink ref="B31" r:id="rId134" display="fdsup://factset/Doc Viewer Single?float_window=true&amp;positioning_strategy=center_on_screen&amp;_doc_docfn=U2FsdGVkX19wxn3toaDAKLfc/9hixCiLmCD6JHIZP3zNHrUS/Nise7eN3nSpHsLF9djrEn1wEycgzXb2h7VFagUoyjGX45dmsAO4lnHrXEk=&amp;_app_id=central_doc_viewer&amp;center_on_screen=true&amp;width=950&amp;height=800&amp;_dd2=%26f%3Dsld%26c%3Dtrue%26os%3D164115%26oe%3D164120" xr:uid="{E9863D7C-A95A-4DA9-A2D3-BABDC01CB652}"/>
    <hyperlink ref="C31" r:id="rId135" display="fdsup://factset/Doc Viewer Single?float_window=true&amp;positioning_strategy=center_on_screen&amp;_doc_docfn=U2FsdGVkX18pDFidKYK7BqOILn1XlOwDVqN4El3Q0qpHq6tg6yYKYslRLEgR6mA1DItNi4k2GJEbyvGLMgCI7numyFnA6ulsR7c/3DX4Lw0=&amp;_app_id=central_doc_viewer&amp;center_on_screen=true&amp;width=950&amp;height=800&amp;_dd2=%26f%3Dsld%26c%3Dtrue%26os%3D167594%26oe%3D167599" xr:uid="{C68D68C0-54AB-49F6-8193-ED02A8E0F2CC}"/>
    <hyperlink ref="D31" r:id="rId136" display="fdsup://factset/Doc Viewer Single?float_window=true&amp;positioning_strategy=center_on_screen&amp;_doc_docfn=U2FsdGVkX1+pDwMJlaeWXnZfbOM5Gd0B4uVwDkd+YuTuG80Gd5QYliorNhFebX8pfpOmKaDtM8RTivpZznaaKFSPUqRe9aYnbJqy5xTZ28w=&amp;_app_id=central_doc_viewer&amp;center_on_screen=true&amp;width=950&amp;height=800&amp;_dd2=%26f%3Dsld%26c%3Dtrue%26os%3D171880%26oe%3D171885" xr:uid="{6B5277CA-5190-4C29-B412-8B5AF921CEE1}"/>
    <hyperlink ref="E31" r:id="rId137" display="fdsup://factset/Doc Viewer Single?float_window=true&amp;positioning_strategy=center_on_screen&amp;_doc_docfn=U2FsdGVkX1/V7B/W5HYjEgXxpWhfh2UlQfeeYp5yX6hI8IviBteuzCOii/1KK67Cpx7Ml38Dp/kMrjjZ0vF8BnrXCHlHzSWRYBhclsP7H9s=&amp;_app_id=central_doc_viewer&amp;center_on_screen=true&amp;width=950&amp;height=800&amp;_dd2=%26f%3Dsld%26c%3Dtrue%26os%3D175015%26oe%3D175020" xr:uid="{74E3F6A0-398B-4937-8C07-D56258E1BB3C}"/>
    <hyperlink ref="F31" r:id="rId138" display="fdsup://factset/Doc Viewer Single?float_window=true&amp;positioning_strategy=center_on_screen&amp;_doc_docfn=U2FsdGVkX1/ofALTnkwl8T1Fub0ItaFRUqEXWU5apKheccP0R2Imdp27eH6CITpSeyYVbcMvPDPlouJFI+kmEDqbj9TulPQz5greP4A2F4Q=&amp;_app_id=central_doc_viewer&amp;center_on_screen=true&amp;width=950&amp;height=800&amp;_dd2=%26f%3Dsld%26c%3Dtrue%26os%3D252460%26oe%3D252465" xr:uid="{0DEA90DB-B98B-44E6-92B6-A0FBFBB38B92}"/>
    <hyperlink ref="G31" r:id="rId139" display="fdsup://factset/Doc Viewer Single?float_window=true&amp;positioning_strategy=center_on_screen&amp;_doc_docfn=U2FsdGVkX1+2TsoKqsntjVzvOVoJcqpA4NWGvpQL1ShH5LkH5Z5ENQs2vztycE1xuqrdrjbrWVITUsaUPa7crEzJV14M8BVZhv1G7ASnsqk=&amp;_app_id=central_doc_viewer&amp;center_on_screen=true&amp;width=950&amp;height=800&amp;_dd2=%26f%3Dsld%26c%3Dtrue%26os%3D433316%26oe%3D433321" xr:uid="{79FB5E06-7FAD-4ED8-AD45-AB9131DF545C}"/>
    <hyperlink ref="H31" r:id="rId140" display="fdsup://factset/Doc Viewer Single?float_window=true&amp;positioning_strategy=center_on_screen&amp;_doc_docfn=U2FsdGVkX18Oht7W+EJO9k+u4NF5MPHV4Y7YJElyCBvA95efbqZ4VVF+PSqs9puybCMbY7SPlDmk/dhcK+a0tOnFeWBnFme9QGD6c2CF7qU=&amp;_app_id=central_doc_viewer&amp;center_on_screen=true&amp;width=950&amp;height=800&amp;_dd2=%26f%3Dsld%26c%3Dtrue%26os%3D268666%26oe%3D268671" xr:uid="{CBB6953F-0A29-4855-A895-41EB96AE4993}"/>
    <hyperlink ref="I31" r:id="rId141" display="fdsup://factset/Doc Viewer Single?float_window=true&amp;positioning_strategy=center_on_screen&amp;_doc_docfn=U2FsdGVkX19tNy8Jyl0R1d89BbTkv+uDwOgBAXdebMM15wcJ2gYPCYIL7e+k5w9KdF/85fU36Uqo5vEkLm/e628ogfVsCtK82YKCGN8B3X8=&amp;_app_id=central_doc_viewer&amp;center_on_screen=true&amp;width=950&amp;height=800&amp;_dd2=%26f%3Dsld%26c%3Dtrue%26os%3D252176%26oe%3D252181" xr:uid="{AB86DD26-C154-4039-8B69-E73919A636A3}"/>
    <hyperlink ref="J31" r:id="rId142" display="fdsup://factset/Doc Viewer Single?float_window=true&amp;positioning_strategy=center_on_screen&amp;_doc_docfn=U2FsdGVkX1+jaBOGeM3GH9KZL/XhVJBSvt+JM6WdOYKDRlJnCotr+W9UFh2h2HVkG3812RKY39x5JWXi96nFRbegGnmIqPLVTGwDLcFPJr0=&amp;_app_id=central_doc_viewer&amp;center_on_screen=true&amp;width=950&amp;height=800&amp;_dd2=%26f%3Dsld%26c%3Dtrue%26os%3D253458%26oe%3D253463" xr:uid="{7730D4E8-9043-44DC-9A59-DA278A42C7FC}"/>
    <hyperlink ref="K31" r:id="rId143" display="fdsup://factset/Doc Viewer Single?float_window=true&amp;positioning_strategy=center_on_screen&amp;_doc_docfn=U2FsdGVkX19no4s6a21JQ4YaGbqZTOoSFJVG/l3y5HqLXmJxei4vCvTReXXejKOWZ5eVSjbL2VA6k7QR4kfTUSz07Ss9ZkFIo04DE/mt7GU=&amp;_app_id=central_doc_viewer&amp;center_on_screen=true&amp;width=950&amp;height=800&amp;_dd2=%26f%3Dsld%26c%3Dtrue%26os%3D264708%26oe%3D264713" xr:uid="{91A38D1B-38AC-4426-8545-5DC2B101B40F}"/>
    <hyperlink ref="B32" r:id="rId144" display="fdsup://factset/Doc Viewer Single?float_window=true&amp;positioning_strategy=center_on_screen&amp;_doc_docfn=U2FsdGVkX18Tyuk4EWeownvTxAymvo/grqiQoUkuIoDFDHkRbDhzjFd5SA6qWLkB4+bj6qDXA3twyUvW78Cv4/RZiQ9KPlIESizwVivZF+s=&amp;_app_id=central_doc_viewer&amp;center_on_screen=true&amp;width=950&amp;height=800&amp;_dd2=%26f%3Dsld%26c%3Dtrue%26os%3D164115%26oe%3D164120" xr:uid="{D4E566CB-05AB-49ED-8370-2374C276F98C}"/>
    <hyperlink ref="C32" r:id="rId145" display="fdsup://factset/Doc Viewer Single?float_window=true&amp;positioning_strategy=center_on_screen&amp;_doc_docfn=U2FsdGVkX193P3rqEYTihqnk+/5asLO6bASniXlp76ayQAua82gPNjw9EzfHu5Dg3Ked+anbiU6oyhXgg7LB3pDItn6nv6qO0OIojqegGvk=&amp;_app_id=central_doc_viewer&amp;center_on_screen=true&amp;width=950&amp;height=800&amp;_dd2=%26f%3Dsld%26c%3Dtrue%26os%3D167594%26oe%3D167599" xr:uid="{741C168D-7AF8-4708-94D7-165D88FE19E2}"/>
    <hyperlink ref="D32" r:id="rId146" display="fdsup://factset/Doc Viewer Single?float_window=true&amp;positioning_strategy=center_on_screen&amp;_doc_docfn=U2FsdGVkX19nzdnP1jcFXjqeZShV3HUn1tX2z8LySju6fYzexSMJp+vFPEmb3A++KDdkTtPEjdVCp/DGduId/Ocd3Koa6ahrowd9hFX3kS4=&amp;_app_id=central_doc_viewer&amp;center_on_screen=true&amp;width=950&amp;height=800&amp;_dd2=%26f%3Dsld%26c%3Dtrue%26os%3D171880%26oe%3D171885" xr:uid="{D8369067-439F-4785-BFC5-3F0EAA97A64B}"/>
    <hyperlink ref="E32" r:id="rId147" display="fdsup://factset/Doc Viewer Single?float_window=true&amp;positioning_strategy=center_on_screen&amp;_doc_docfn=U2FsdGVkX18sejjUs23GdqGt7dIEL88OzQ3rBckoOIPhzLH+6iYpXUqKbELsC+Nj8eyiahkDZ1S6GYeJoY5uPsuI/mpmWfpQxBrkhf1GUj8=&amp;_app_id=central_doc_viewer&amp;center_on_screen=true&amp;width=950&amp;height=800&amp;_dd2=%26f%3Dsld%26c%3Dtrue%26os%3D175015%26oe%3D175020" xr:uid="{036F28F8-FA3D-4B18-A769-B5501413317F}"/>
    <hyperlink ref="F32" r:id="rId148" display="fdsup://factset/Doc Viewer Single?float_window=true&amp;positioning_strategy=center_on_screen&amp;_doc_docfn=U2FsdGVkX1/Mnc09pUCQojSBXqqCVdzctjzRB86F+DeK6TqrVU91LIQeB/IZ9aewK8fUcTpxVKNYlDy9vAAjL9jZC9x34XiKicX4FsI1oLU=&amp;_app_id=central_doc_viewer&amp;center_on_screen=true&amp;width=950&amp;height=800&amp;_dd2=%26f%3Dsld%26c%3Dtrue%26os%3D252460%26oe%3D252465" xr:uid="{EAA3AA6E-D9ED-400F-B8B3-CA1D14575463}"/>
    <hyperlink ref="G32" r:id="rId149" display="fdsup://factset/Doc Viewer Single?float_window=true&amp;positioning_strategy=center_on_screen&amp;_doc_docfn=U2FsdGVkX18l9CRdd7drhZ46RMBW3W7Z+EAPzvOno9CIoCFzd54uu2bpCIyMVw2XjtFczBCciEoj5bNyuD1Kocd2rbklFrt7vu/reCqEjwY=&amp;_app_id=central_doc_viewer&amp;center_on_screen=true&amp;width=950&amp;height=800&amp;_dd2=%26f%3Dsld%26c%3Dtrue%26os%3D433316%26oe%3D433321" xr:uid="{5C54612F-1D18-4845-B5D9-E6ED9AF802FC}"/>
    <hyperlink ref="H32" r:id="rId150" display="fdsup://factset/Doc Viewer Single?float_window=true&amp;positioning_strategy=center_on_screen&amp;_doc_docfn=U2FsdGVkX19PsSlVMjiutYzya80mSbQZrvDLrg4hutiQ7CgTr5aTbuKstwSwuP15DELSLpKRumdA0hyyRz9z3rRmaW5RZhusUlHY8F3HrKw=&amp;_app_id=central_doc_viewer&amp;center_on_screen=true&amp;width=950&amp;height=800&amp;_dd2=%26f%3Dsld%26c%3Dtrue%26os%3D268666%26oe%3D268671" xr:uid="{E4F3504A-0BF8-45D9-9EFC-2C6D3B1A55EA}"/>
    <hyperlink ref="I32" r:id="rId151" display="fdsup://factset/Doc Viewer Single?float_window=true&amp;positioning_strategy=center_on_screen&amp;_doc_docfn=U2FsdGVkX1/2Ql1/zUOHvaRNWHRR6NwilkeMOnTBABKGrwWPiCJPBori7eAasGgn9fBybH9hRD2/CUtAtv4hW4NLOgSGKiuTeCiWxbCCov4=&amp;_app_id=central_doc_viewer&amp;center_on_screen=true&amp;width=950&amp;height=800&amp;_dd2=%26f%3Dsld%26c%3Dtrue%26os%3D252176%26oe%3D252181" xr:uid="{54C02D64-F744-4625-9E97-126974597755}"/>
    <hyperlink ref="J32" r:id="rId152" display="fdsup://factset/Doc Viewer Single?float_window=true&amp;positioning_strategy=center_on_screen&amp;_doc_docfn=U2FsdGVkX18r9+sYdUFC4zHY0dmM5bgxoOvBqv+CkasQJOnNpIp+y9E80NaiQpz/D7aYAostZ4c02fQYIjskS3M1yl9whiiosKCn5d10sy4=&amp;_app_id=central_doc_viewer&amp;center_on_screen=true&amp;width=950&amp;height=800&amp;_dd2=%26f%3Dsld%26c%3Dtrue%26os%3D253458%26oe%3D253463" xr:uid="{61F281B7-8026-43C4-9115-20F56122E5BD}"/>
    <hyperlink ref="K32" r:id="rId153" display="fdsup://factset/Doc Viewer Single?float_window=true&amp;positioning_strategy=center_on_screen&amp;_doc_docfn=U2FsdGVkX18vkrMDtvgid6uKJjZfjYgEhkhdLkqiDkkZvbURkRkmHiQVE1AA4eHowFZkLp+AJKF8TNL234IocOhvZpS/g5hiM68FFp+vzog=&amp;_app_id=central_doc_viewer&amp;center_on_screen=true&amp;width=950&amp;height=800&amp;_dd2=%26f%3Dsld%26c%3Dtrue%26os%3D264708%26oe%3D264713" xr:uid="{BC70C5AC-90D5-4C4F-B5C1-6F747817BAD6}"/>
    <hyperlink ref="B33" r:id="rId154" display="fdsup://factset/Doc Viewer Single?float_window=true&amp;positioning_strategy=center_on_screen&amp;_doc_docfn=U2FsdGVkX18E6LrYwNcimyJkG5XIccf4ck1kPrcl8IO7uPtgegk5wNqwXPc4lmHAQFTjvjeH21cvN0PD97OFaOWwN20anP9NZDTqO72825U=&amp;_app_id=central_doc_viewer&amp;center_on_screen=true&amp;width=950&amp;height=800&amp;_dd2=%26f%3Dsld%26c%3Dtrue%26os%3D163255%26oe%3D163260" xr:uid="{F4F1FFD9-128E-4536-8A88-C503EEAFB619}"/>
    <hyperlink ref="C33" r:id="rId155" display="fdsup://factset/Doc Viewer Single?float_window=true&amp;positioning_strategy=center_on_screen&amp;_doc_docfn=U2FsdGVkX19/uxE8U4ZDEaOUJZgFSEKwAuom2V9FzFe4v7IJiPCA8+HsR8+jZmL4eomSNBPHppR2IlLKI1gMhrjnV+AA4v1Y9oOA9DG1ySs=&amp;_app_id=central_doc_viewer&amp;center_on_screen=true&amp;width=950&amp;height=800&amp;_dd2=%26f%3Dsld%26c%3Dtrue%26os%3D166734%26oe%3D166739" xr:uid="{45D7D0C7-5F61-4679-A0D2-096145141CB2}"/>
    <hyperlink ref="D33" r:id="rId156" display="fdsup://factset/Doc Viewer Single?float_window=true&amp;positioning_strategy=center_on_screen&amp;_doc_docfn=U2FsdGVkX1/s0BQZ1ZaLdMXQLu8bordtEQUgZTHJn8lcTDunLCG49CD7SBYwt+/6FR79gKTmIY6STv6S1ODFBd+LCFimlzHqoNzI6UAbNbM=&amp;_app_id=central_doc_viewer&amp;center_on_screen=true&amp;width=950&amp;height=800&amp;_dd2=%26f%3Dsld%26c%3Dtrue%26os%3D171020%26oe%3D171025" xr:uid="{F167B63E-3921-428F-BF19-346992A75DE6}"/>
    <hyperlink ref="E33" r:id="rId157" display="fdsup://factset/Doc Viewer Single?float_window=true&amp;positioning_strategy=center_on_screen&amp;_doc_docfn=U2FsdGVkX1/gvaA9Smd2WofpvE4fAVRbmBrEIeND9MjkuwimYzPG4f/yA2XSGYLNMhPWXsQ27HR2ZsmB7hlQ1hiOiMGh0OrhMES0FRnNcKk=&amp;_app_id=central_doc_viewer&amp;center_on_screen=true&amp;width=950&amp;height=800&amp;_dd2=%26f%3Dsld%26c%3Dtrue%26os%3D174155%26oe%3D174160" xr:uid="{9B12C1DC-3EA9-4761-A0F5-E82DE556F68F}"/>
    <hyperlink ref="F33" r:id="rId158" display="fdsup://factset/Doc Viewer Single?float_window=true&amp;positioning_strategy=center_on_screen&amp;_doc_docfn=U2FsdGVkX189yLUJJFNclFG5FKKOibO6jG03FDdf4HkDYptzh1TDDFMeKsWDqS+JY84nI9Er3jL70vA+HjfzsiwqyVnldjgYj6R+9SZ9kpk=&amp;_app_id=central_doc_viewer&amp;center_on_screen=true&amp;width=950&amp;height=800&amp;_dd2=%26f%3Dsld%26c%3Dtrue%26os%3D251656%26oe%3D251661" xr:uid="{8B7811E6-89AE-4329-971C-F4B9D9549FA0}"/>
    <hyperlink ref="G33" r:id="rId159" display="fdsup://factset/Doc Viewer Single?float_window=true&amp;positioning_strategy=center_on_screen&amp;_doc_docfn=U2FsdGVkX1+UEJdhB5zbpFbnyIv8IhtsXu+4U7XkM7+iqxdozFnYSS5rwuj+nRWhk70WljIhUHzfVK/ppKyj4VfBEuyimNdw/xp/81LWHC8=&amp;_app_id=central_doc_viewer&amp;center_on_screen=true&amp;width=950&amp;height=800&amp;_dd2=%26f%3Dsld%26c%3Dtrue%26os%3D432512%26oe%3D432517" xr:uid="{8E46CB78-1A82-4482-BC76-97C7A7384AE7}"/>
    <hyperlink ref="H33" r:id="rId160" display="fdsup://factset/Doc Viewer Single?float_window=true&amp;positioning_strategy=center_on_screen&amp;_doc_docfn=U2FsdGVkX18WzmFeM+mp4+W0/SzCaBtttsPFswN9dvI2nEkWhyV+JIq0vEarX+ri7QLWM7yJ6lO2EGScvOZgVXdnllpvxKypCK75n/GfclQ=&amp;_app_id=central_doc_viewer&amp;center_on_screen=true&amp;width=950&amp;height=800&amp;_dd2=%26f%3Dsld%26c%3Dtrue%26os%3D267854%26oe%3D267859" xr:uid="{47C21000-172B-4CEC-BF17-7A3F26626E7D}"/>
    <hyperlink ref="I33" r:id="rId161" display="fdsup://factset/Doc Viewer Single?float_window=true&amp;positioning_strategy=center_on_screen&amp;_doc_docfn=U2FsdGVkX19223IID057MGHsL1+i5w3trpyplV0JFDEEpup6KJT0FpaOtPwbw82IlL8o5nqznm8Wd4XLC9AfS3MKECxMc1P9JgN2KPHS1OY=&amp;_app_id=central_doc_viewer&amp;center_on_screen=true&amp;width=950&amp;height=800&amp;_dd2=%26f%3Dsld%26c%3Dtrue%26os%3D251364%26oe%3D251369" xr:uid="{95C0B088-EDBD-4DE7-A613-08383546A48D}"/>
    <hyperlink ref="J33" r:id="rId162" display="fdsup://factset/Doc Viewer Single?float_window=true&amp;positioning_strategy=center_on_screen&amp;_doc_docfn=U2FsdGVkX19Z9T9ggQyJi0kd1hiOJIA8Y2bwLpV41TyMoVyfd0gw8HCwUij1M7OsKORmbic+kIV7Uci1MpWn6g8ghsAnmPywwqsDmld6tEY=&amp;_app_id=central_doc_viewer&amp;center_on_screen=true&amp;width=950&amp;height=800&amp;_dd2=%26f%3Dsld%26c%3Dtrue%26os%3D252646%26oe%3D252651" xr:uid="{FF6857D4-5DE8-4DFD-ABC5-25C182E28D18}"/>
    <hyperlink ref="K33" r:id="rId163" display="fdsup://factset/Doc Viewer Single?float_window=true&amp;positioning_strategy=center_on_screen&amp;_doc_docfn=U2FsdGVkX1+Fmp2Uv8JVkqWPcwfNHvbzalrsoLAjSd464x400RO2lqgQFZunPsQAkltrpXculoS+XeA+wtZvDzBUSamqTJJvaXT8JFfPEw8=&amp;_app_id=central_doc_viewer&amp;center_on_screen=true&amp;width=950&amp;height=800&amp;_dd2=%26f%3Dsld%26c%3Dtrue%26os%3D263895%26oe%3D263901" xr:uid="{302D6918-B395-4A18-B397-083DE617771D}"/>
    <hyperlink ref="B35" r:id="rId164" display="fdsup://factset/Doc Viewer Single?float_window=true&amp;positioning_strategy=center_on_screen&amp;_doc_docfn=U2FsdGVkX1921niAexxiaxtWLZmZ27juk8gYzrno1JLw1lU5cYOoc6jHrE5m7nQArJvXb0sgC4ZTPhBwlxZwISmbYeMqKyXeXmq6xDDIbaM=&amp;_app_id=central_doc_viewer&amp;center_on_screen=true&amp;width=950&amp;height=800&amp;_dd2=%26f%3Dsld%26c%3Dtrue%26os%3D165023%26oe%3D165031" xr:uid="{FC048DCF-2900-4051-A7DB-F4E34FD5DBB3}"/>
    <hyperlink ref="C35" r:id="rId165" display="fdsup://factset/Doc Viewer Single?float_window=true&amp;positioning_strategy=center_on_screen&amp;_doc_docfn=U2FsdGVkX1+Yp58R/sk+GN7bJPytxmwSDwxT3PqjXKQUkP9XiB5INYXQZNM7rYP/Lw1gofTTyVKVWejXc/TPo+bb8WMIjqTEqVndcsI4V24=&amp;_app_id=central_doc_viewer&amp;center_on_screen=true&amp;width=950&amp;height=800&amp;_dd2=%26f%3Dsld%26c%3Dtrue%26os%3D168501%26oe%3D168508" xr:uid="{733E5EDD-C867-4844-B581-4ACE9D174F7C}"/>
    <hyperlink ref="D35" r:id="rId166" display="fdsup://factset/Doc Viewer Single?float_window=true&amp;positioning_strategy=center_on_screen&amp;_doc_docfn=U2FsdGVkX19qwRALgQeidZCpLYOoG7d3q89OR8J5tyIkl356e8S0JsQQCp+R1aDB/+hzk+uXsr3xmX/O4xGPNv+XlT6JPUu+HV55S+PU22s=&amp;_app_id=central_doc_viewer&amp;center_on_screen=true&amp;width=950&amp;height=800&amp;_dd2=%26f%3Dsld%26c%3Dtrue%26os%3D172787%26oe%3D172794" xr:uid="{70D28317-26DB-4A0C-BD41-14A509A2990D}"/>
    <hyperlink ref="E35" r:id="rId167" display="fdsup://factset/Doc Viewer Single?float_window=true&amp;positioning_strategy=center_on_screen&amp;_doc_docfn=U2FsdGVkX1/T7aNKtu1Ll5zVMV1Pokl3/L7rJavpMJhwTi+VKBs/VrrHgdy2Fu/tBZNidQmKqL632jKojk7QDdOxZZIZuNsPQ0nRYon0MgE=&amp;_app_id=central_doc_viewer&amp;center_on_screen=true&amp;width=950&amp;height=800&amp;_dd2=%26f%3Dsld%26c%3Dtrue%26os%3D175922%26oe%3D175929" xr:uid="{07996026-BEA7-4D8C-9368-5D931A679436}"/>
    <hyperlink ref="F35" r:id="rId168" display="fdsup://factset/Doc Viewer Single?float_window=true&amp;positioning_strategy=center_on_screen&amp;_doc_docfn=U2FsdGVkX191KuRr3vbFZNDc7D57+HQN3g6udPT0x4URc7jInYMV/MkFTS6YgMQY+uiMZNtf/Vl6n/C18I1+HAE+Nfvumr+BoKe0beaS9Ng=&amp;_app_id=central_doc_viewer&amp;center_on_screen=true&amp;width=950&amp;height=800&amp;_dd2=%26f%3Dsld%26c%3Dtrue%26os%3D253311%26oe%3D253318" xr:uid="{AAB7A4E2-FCF4-417B-BD8D-D0527F5359B9}"/>
    <hyperlink ref="G35" r:id="rId169" display="fdsup://factset/Doc Viewer Single?float_window=true&amp;positioning_strategy=center_on_screen&amp;_doc_docfn=U2FsdGVkX1+NDJWYMeCCE2+2NjEn81WWSdMh3L6FPA2aVdz3xjvPcvzuVM2dIiwO7SQrOgnQZ2xHCtuEYw95o16phdCTTdYOCZt8zptUGKg=&amp;_app_id=central_doc_viewer&amp;center_on_screen=true&amp;width=950&amp;height=800&amp;_dd2=%26f%3Dsld%26c%3Dtrue%26os%3D434167%26oe%3D434174" xr:uid="{924A2B96-6445-4E10-9300-49D42FCB5693}"/>
    <hyperlink ref="H35" r:id="rId170" display="fdsup://factset/Doc Viewer Single?float_window=true&amp;positioning_strategy=center_on_screen&amp;_doc_docfn=U2FsdGVkX1/WTOaN62uVNRrmfrmgpDhnYEzA4IXwNw4FrAbrTw8bfsNIrBMnXM+RGfzYIpLb1VIr+rtUaghLqLnDrIEJbfFgdDWSDMvkCSk=&amp;_app_id=central_doc_viewer&amp;center_on_screen=true&amp;width=950&amp;height=800&amp;_dd2=%26f%3Dsld%26c%3Dtrue%26os%3D269517%26oe%3D269524" xr:uid="{BB34C55B-DD2B-4D83-B747-EA62606370DC}"/>
    <hyperlink ref="I35" r:id="rId171" display="fdsup://factset/Doc Viewer Single?float_window=true&amp;positioning_strategy=center_on_screen&amp;_doc_docfn=U2FsdGVkX1/61TR3H0lVLKxzdOXaMs9j7tQaDBSBzt/THzrPA4Uzq93svdOyx8WKkYgOpwxSBwMuDxGjTAXee5aucFzRe7UVwJCZn2iK1zk=&amp;_app_id=central_doc_viewer&amp;center_on_screen=true&amp;width=950&amp;height=800&amp;_dd2=%26f%3Dsld%26c%3Dtrue%26os%3D253028%26oe%3D253036" xr:uid="{760975EA-CE7E-459B-B198-23DD2B0F6D96}"/>
    <hyperlink ref="J35" r:id="rId172" display="fdsup://factset/Doc Viewer Single?float_window=true&amp;positioning_strategy=center_on_screen&amp;_doc_docfn=U2FsdGVkX18IPZ3iKBSLDYIDjb4QpQwXk3CTh/fB10+3YtW2vuQLdiVmZmBmVQw8gQUY3RWhmschwKAKzQ2lL3ndor/NsTsOaRXsi9+TMcw=&amp;_app_id=central_doc_viewer&amp;center_on_screen=true&amp;width=950&amp;height=800&amp;_dd2=%26f%3Dsld%26c%3Dtrue%26os%3D254310%26oe%3D254318" xr:uid="{1D632E56-B34B-4AE8-9451-C607731AC85E}"/>
    <hyperlink ref="K35" r:id="rId173" display="fdsup://factset/Doc Viewer Single?float_window=true&amp;positioning_strategy=center_on_screen&amp;_doc_docfn=U2FsdGVkX182859yQWCQb9bywaTvdWOzRNqVSmlbUK/xMs2ovj0cF4NYe+4Q7fq1rnn4AbsipUp0EpDnM4yunzwBPvaocczyV7jm6jgvysE=&amp;_app_id=central_doc_viewer&amp;center_on_screen=true&amp;width=950&amp;height=800&amp;_dd2=%26f%3Dsld%26c%3Dtrue%26os%3D265583%26oe%3D265591" xr:uid="{CB9D37A6-419E-413A-889D-B2E167BE79CF}"/>
    <hyperlink ref="K36" r:id="rId174" display="fdsup://factset/Doc Viewer Single?float_window=true&amp;positioning_strategy=center_on_screen&amp;_doc_docfn=U2FsdGVkX19d3XQ34DNz6+74GkkHPpvxA7cVGh02EDUUPDksNJ1vOcNYxjgJw+wHGCF+JImziO9oPnadgUzXXyPWH0Ht4ekjlH/HbpODTSI=&amp;_app_id=central_doc_viewer&amp;center_on_screen=true&amp;width=950&amp;height=800&amp;_dd2=%26f%3Dsld%26c%3Dtrue%26os%3D267185%26oe%3D267192" xr:uid="{1D39180B-B9F4-489F-A18C-18D6283238F8}"/>
    <hyperlink ref="K37" r:id="rId175" display="fdsup://factset/Doc Viewer Single?float_window=true&amp;positioning_strategy=center_on_screen&amp;_doc_docfn=U2FsdGVkX1+pGj1n7Caa4tSf35+ZoaUU9Ns6m2GybMkLOZyYKIIIqsAUHJPbynX0lTVZE+u+2aBo6n99MbvFOjexV6wzMmSWwDTc7PYZuXU=&amp;_app_id=central_doc_viewer&amp;center_on_screen=true&amp;width=950&amp;height=800&amp;_dd2=%26f%3Dsld%26c%3Dtrue%26os%3D267926%26oe%3D267931" xr:uid="{1C972CA4-A2A9-4665-8338-6783E76232A2}"/>
    <hyperlink ref="B39" r:id="rId176" display="fdsup://factset/Doc Viewer Single?float_window=true&amp;positioning_strategy=center_on_screen&amp;_doc_docfn=U2FsdGVkX18HxbFljV0ZT7GgXSF3h+vTPOG9kPCWqbiPWZvfycamwGtuLL/+RovOYpMqSFNLEiFGoRYI+NtEnixXtPlJrpx4EJVvB4eoUyI=&amp;_app_id=central_doc_viewer&amp;center_on_screen=true&amp;width=950&amp;height=800&amp;_dd2=%26f%3Dsld%26c%3Dtrue%26os%3D166716%26oe%3D166721" xr:uid="{52C57BC8-3043-4223-BF63-8C1D2CFE31F5}"/>
    <hyperlink ref="C39" r:id="rId177" display="fdsup://factset/Doc Viewer Single?float_window=true&amp;positioning_strategy=center_on_screen&amp;_doc_docfn=U2FsdGVkX18LvOVsi8sPKizsCq8fGkASisg5RQkZ6Lg+J2/i/c1OGfy1qECqXoib3kblfFA/QJtQsbcKXSKRtlR/uA9hGoUAMIx/TJWu0aU=&amp;_app_id=central_doc_viewer&amp;center_on_screen=true&amp;width=950&amp;height=800&amp;_dd2=%26f%3Dsld%26c%3Dtrue%26os%3D170197%26oe%3D170199" xr:uid="{B2DC3AF5-2554-4892-A81A-E165B45F325D}"/>
    <hyperlink ref="D39" r:id="rId178" display="fdsup://factset/Doc Viewer Single?float_window=true&amp;positioning_strategy=center_on_screen&amp;_doc_docfn=U2FsdGVkX1+jaJ+bdvsgdsTSkHaVeLwY59t4eK9pRffoaCnfwMxjCQyUcX/Oz/DK//OJlPCW9AO33YoxfGLgkPVuMemJr4di/gWxvhoqRug=&amp;_app_id=central_doc_viewer&amp;center_on_screen=true&amp;width=950&amp;height=800&amp;_dd2=%26f%3Dsld%26c%3Dtrue%26os%3D174484%26oe%3D174489" xr:uid="{3089A50F-6D60-495C-957A-7EED830BA74D}"/>
    <hyperlink ref="E39" r:id="rId179" display="fdsup://factset/Doc Viewer Single?float_window=true&amp;positioning_strategy=center_on_screen&amp;_doc_docfn=U2FsdGVkX1+UKJLFT0lt5+QBZAgekAyaIaI21rveqRpoEnZUislNkx0WYkap1frMgwBJTA1rdk5G7Gbs+LH/sjCxMRv+lHYU8eYRZcemvEk=&amp;_app_id=central_doc_viewer&amp;center_on_screen=true&amp;width=950&amp;height=800&amp;_dd2=%26f%3Dsld%26c%3Dtrue%26os%3D177617%26oe%3D177622" xr:uid="{8095AF6A-A634-4A82-B689-F549718DAF58}"/>
    <hyperlink ref="F39" r:id="rId180" display="fdsup://factset/Doc Viewer Single?float_window=true&amp;positioning_strategy=center_on_screen&amp;_doc_docfn=U2FsdGVkX18Ken/74BmfmgsTaH5TkFtOCS0LB11oR51U47C2Sq2LQ+wyDPp2Xp0+hDvzjyCHKgtofmNRMYN0C4Y2VZvRA2M7aj3vAGG8g0I=&amp;_app_id=central_doc_viewer&amp;center_on_screen=true&amp;width=950&amp;height=800&amp;_dd2=%26f%3Dsld%26c%3Dtrue%26os%3D254894%26oe%3D254897" xr:uid="{C9C4B85D-B6DE-4B51-8F6B-2A18D2AD9851}"/>
    <hyperlink ref="G39" r:id="rId181" display="fdsup://factset/Doc Viewer Single?float_window=true&amp;positioning_strategy=center_on_screen&amp;_doc_docfn=U2FsdGVkX18FIYEB7ddkyeKMFnvNRDLR9MVZaCOwT9muEp+X2St0Gxm1XPuEoLW06OoN5ZzXWNyued7aTO84mvlrZu97D/mKe8Qt0R+XeEE=&amp;_app_id=central_doc_viewer&amp;center_on_screen=true&amp;width=950&amp;height=800&amp;_dd2=%26f%3Dsld%26c%3Dtrue%26os%3D435750%26oe%3D435755" xr:uid="{B973B223-FDB9-453A-8B60-A60885050FF2}"/>
    <hyperlink ref="H39" r:id="rId182" display="fdsup://factset/Doc Viewer Single?float_window=true&amp;positioning_strategy=center_on_screen&amp;_doc_docfn=U2FsdGVkX19lI5COmwKx1+IRQvpky/DrEc8Xiza1zMmIPB9wNY7GRu+YVE7B4pME3Z6pHsYvfgEx+V+5/lZgu3FpcGiHzcUJ66Ry+YWcW3c=&amp;_app_id=central_doc_viewer&amp;center_on_screen=true&amp;width=950&amp;height=800&amp;_dd2=%26f%3Dsld%26c%3Dtrue%26os%3D271101%26oe%3D271108" xr:uid="{1FD9FBB8-EACD-4847-B1DE-4FB4A7CE320D}"/>
    <hyperlink ref="I40" r:id="rId183" display="fdsup://factset/Doc Viewer Single?float_window=true&amp;positioning_strategy=center_on_screen&amp;_doc_docfn=U2FsdGVkX19kaDzoN/gyLRqvK8gDAiNa3dBkxjXJj1iR6KulH1FjOuP7bILY46ITNMP4LP0tnzJ2R1+ii+lCPStRzGljdCybpjC1vhhIRwg=&amp;_app_id=central_doc_viewer&amp;center_on_screen=true&amp;width=950&amp;height=800&amp;_dd2=%26f%3Dsld%26c%3Dtrue%26os%3D254622%26oe%3D254627" xr:uid="{04C3703F-CDB9-4887-A222-4410548006C7}"/>
    <hyperlink ref="J40" r:id="rId184" display="fdsup://factset/Doc Viewer Single?float_window=true&amp;positioning_strategy=center_on_screen&amp;_doc_docfn=U2FsdGVkX18Jr6gJ+sIg8XeFfYqqFZXmRUXPATMiIwH0j69Y08EyJEfKRXE8dnNt9SlTf3KBNysUZxbteRjsCARhzSoMTLzguOfSV1Qp13E=&amp;_app_id=central_doc_viewer&amp;center_on_screen=true&amp;width=950&amp;height=800&amp;_dd2=%26f%3Dsld%26c%3Dtrue%26os%3D255905%26oe%3D255908" xr:uid="{40E3D87A-6A12-4684-9A1C-333FBEF967E9}"/>
    <hyperlink ref="K40" r:id="rId185" display="fdsup://factset/Doc Viewer Single?float_window=true&amp;positioning_strategy=center_on_screen&amp;_doc_docfn=U2FsdGVkX18apJaC/kgmW+HExjWgongO9KlB1UtpL3f6GZExww/Pf0xVmpiLU/uZwyONS5pJDng8U3j9LyJLoMU8+ki2/z+AbvxEudfKvfs=&amp;_app_id=central_doc_viewer&amp;center_on_screen=true&amp;width=950&amp;height=800&amp;_dd2=%26f%3Dsld%26c%3Dtrue%26os%3D268698%26oe%3D268703" xr:uid="{A1F9A2FE-C95A-44BF-8FA9-565C08708FD2}"/>
    <hyperlink ref="B41" r:id="rId186" display="fdsup://factset/Doc Viewer Single?float_window=true&amp;positioning_strategy=center_on_screen&amp;_doc_docfn=U2FsdGVkX1+Me1tQFsrxQTdeeAuvxESTlUuNoTOuo/X/71Ai2UpKXQVvrLJEtvsP79szqYdGBjcpxlaDb5MPt9a979dkBuQ+xff+4/BLSNI=&amp;_app_id=central_doc_viewer&amp;center_on_screen=true&amp;width=950&amp;height=800&amp;_dd2=%26f%3Dsld%26c%3Dtrue%26os%3D166716%26oe%3D166721" xr:uid="{4A8FC98B-1B89-44E4-B830-C6239E9B138B}"/>
    <hyperlink ref="C41" r:id="rId187" display="fdsup://factset/Doc Viewer Single?float_window=true&amp;positioning_strategy=center_on_screen&amp;_doc_docfn=U2FsdGVkX18CPMLQ1sth+qNU3deDlWlEvTW3fQYOzrMLgprl0k/EX6sTTpx4glIotz1slqxfeh9k5oCZRVQpdNR4OJ+BkT+0qoZt5K9NRRA=&amp;_app_id=central_doc_viewer&amp;center_on_screen=true&amp;width=950&amp;height=800&amp;_dd2=%26f%3Dsld%26c%3Dtrue%26os%3D170197%26oe%3D170199" xr:uid="{9EC1F94E-2E06-4F5F-AA79-D9B90FA007FE}"/>
    <hyperlink ref="D41" r:id="rId188" display="fdsup://factset/Doc Viewer Single?float_window=true&amp;positioning_strategy=center_on_screen&amp;_doc_docfn=U2FsdGVkX18K3uKQVd60VzNKcJH3uM8mA/raxybQlx/mHgXkMaa3te96u8Wen416LT2fQWpgIS5gfEv2vdhHL0Zoe55wFiWEnC9kmom+dRs=&amp;_app_id=central_doc_viewer&amp;center_on_screen=true&amp;width=950&amp;height=800&amp;_dd2=%26f%3Dsld%26c%3Dtrue%26os%3D174484%26oe%3D174489" xr:uid="{59AD1D73-645B-4451-8BF4-4048896147EB}"/>
    <hyperlink ref="E41" r:id="rId189" display="fdsup://factset/Doc Viewer Single?float_window=true&amp;positioning_strategy=center_on_screen&amp;_doc_docfn=U2FsdGVkX19Kxhgo0Mcnvd9SmRN08SU3CHxmHWq9nqBTiwRahD77nziwHbfTtVzqj2QPRLxyNuumOpV4oEYO8yZIij92chq9LhSShe8e03A=&amp;_app_id=central_doc_viewer&amp;center_on_screen=true&amp;width=950&amp;height=800&amp;_dd2=%26f%3Dsld%26c%3Dtrue%26os%3D177617%26oe%3D177622" xr:uid="{3D08AB55-6440-4B16-8EFB-A8BF45C85F33}"/>
    <hyperlink ref="F41" r:id="rId190" display="fdsup://factset/Doc Viewer Single?float_window=true&amp;positioning_strategy=center_on_screen&amp;_doc_docfn=U2FsdGVkX19TlTRdH3QS4dJETWGACULmyAiy4vnyjl9eFIiT0XPbDxsQy9oDh8MBpUgw5gMnz6+9ZdVlswtQKHlwohVj7oN85dJvLek9Bk4=&amp;_app_id=central_doc_viewer&amp;center_on_screen=true&amp;width=950&amp;height=800&amp;_dd2=%26f%3Dsld%26c%3Dtrue%26os%3D254894%26oe%3D254897" xr:uid="{C035FDB0-BBA0-4D03-859E-CDFC345F6B56}"/>
    <hyperlink ref="I41" r:id="rId191" display="fdsup://factset/Doc Viewer Single?float_window=true&amp;positioning_strategy=center_on_screen&amp;_doc_docfn=U2FsdGVkX19e0YgTLq2vyOL+ML1IG/Vh+eI6Rt6Q14I49mlK0oXYc1Jm8xqU7c73GP8CcnOUDfOd8nUfmN4eJHUwvmtIBXHyvAKj6O70Ls8=&amp;_app_id=central_doc_viewer&amp;center_on_screen=true&amp;width=950&amp;height=800&amp;_dd2=%26f%3Dsld%26c%3Dtrue%26os%3D255362%26oe%3D255367" xr:uid="{F2EBDA4B-C397-403E-9EF1-159F81AE522E}"/>
    <hyperlink ref="J41" r:id="rId192" display="fdsup://factset/Doc Viewer Single?float_window=true&amp;positioning_strategy=center_on_screen&amp;_doc_docfn=U2FsdGVkX1+uXTFuF6u4+rE7+UlZobtF8R3uyCMWomIK7vYtNZ/uf8QBefY6QqscgxUuIGQMJcMfDTayJiJFyHThIj4K0aNLaBO9GzKnGXw=&amp;_app_id=central_doc_viewer&amp;center_on_screen=true&amp;width=950&amp;height=800&amp;_dd2=%26f%3Dsld%26c%3Dtrue%26os%3D256646%26oe%3D256651" xr:uid="{B00D22F6-E1EC-40A9-BAC6-DB689084E2BB}"/>
    <hyperlink ref="K41" r:id="rId193" display="fdsup://factset/Doc Viewer Single?float_window=true&amp;positioning_strategy=center_on_screen&amp;_doc_docfn=U2FsdGVkX1/OIIErNMnjtokZWjyXz6qFyNgWeJiJhsdqQGGjz1SkVoKAbNpjpWdy54LrbTjX281b/oxmdQBKO3Okq4OR+wVWW/NKvGNlVQ8=&amp;_app_id=central_doc_viewer&amp;center_on_screen=true&amp;width=950&amp;height=800&amp;_dd2=%26f%3Dsld%26c%3Dtrue%26os%3D269444%26oe%3D269451" xr:uid="{01AD9241-9F0B-4DAB-A974-E3A9127F7555}"/>
    <hyperlink ref="B42" r:id="rId194" display="fdsup://factset/Doc Viewer Single?float_window=true&amp;positioning_strategy=center_on_screen&amp;_doc_docfn=U2FsdGVkX18/epVpAmMIOJK0Jfk6q7/vA6cQm4sEUMT1F+KksSZYG+Avt/iPSeTN1zkkseVafAIeHI07lap7Sn1a7Ve4QHI4NBz71jkLkLI=&amp;_app_id=central_doc_viewer&amp;center_on_screen=true&amp;width=950&amp;height=800&amp;_dd2=%26f%3Dsld%26c%3Dtrue%26os%3D165892%26oe%3D165899" xr:uid="{26897498-C533-4E94-B5D6-A3AC6B2C7450}"/>
    <hyperlink ref="C42" r:id="rId195" display="fdsup://factset/Doc Viewer Single?float_window=true&amp;positioning_strategy=center_on_screen&amp;_doc_docfn=U2FsdGVkX18bn1N4MyfQqBhBTVzpthNQ/ju1Xo0OISu+dPjoWiqEvHBHJi/1Fd3uPVAUOmCsxSNLuY5oP5xdIMJBmRiNg947nS99icQxCFc=&amp;_app_id=central_doc_viewer&amp;center_on_screen=true&amp;width=950&amp;height=800&amp;_dd2=%26f%3Dsld%26c%3Dtrue%26os%3D169374%26oe%3D169381" xr:uid="{6E99A8DF-6473-4982-9DD5-74EB1A79FC03}"/>
    <hyperlink ref="D42" r:id="rId196" display="fdsup://factset/Doc Viewer Single?float_window=true&amp;positioning_strategy=center_on_screen&amp;_doc_docfn=U2FsdGVkX1+RJiZwByROlMtkj6TX+j6YnQbeTDJEK1GA73qHEc/+89yp7B+xE+WxkrX8oTBH4QsximcZCg3FwQUbjho12kHGTeTn1YZEu7o=&amp;_app_id=central_doc_viewer&amp;center_on_screen=true&amp;width=950&amp;height=800&amp;_dd2=%26f%3Dsld%26c%3Dtrue%26os%3D173660%26oe%3D173667" xr:uid="{969984C3-95EE-4EF5-A4D8-F03C45387346}"/>
    <hyperlink ref="E42" r:id="rId197" display="fdsup://factset/Doc Viewer Single?float_window=true&amp;positioning_strategy=center_on_screen&amp;_doc_docfn=U2FsdGVkX18vdZDSGc2ZdQ8BECA2Bj8QJw0SBNDXltX1UWyM9JOHQDlut+5AA/7+kT5tj0f+xj21SN642buqq4BHbCpRDCJn+ZI54Bw7zn4=&amp;_app_id=central_doc_viewer&amp;center_on_screen=true&amp;width=950&amp;height=800&amp;_dd2=%26f%3Dsld%26c%3Dtrue%26os%3D176793%26oe%3D176800" xr:uid="{1A5A07FD-2D67-4C79-A161-2419CA7E8340}"/>
    <hyperlink ref="F42" r:id="rId198" display="fdsup://factset/Doc Viewer Single?float_window=true&amp;positioning_strategy=center_on_screen&amp;_doc_docfn=U2FsdGVkX1+Kbe99/hFDl9vJkZYKNzVGpKr/ybV2XjdTtsEzFF+oIFWN3ylVidrXeHmZy6vGuoDa4SmffeppBLurzCVule6uBaJC2CqaDns=&amp;_app_id=central_doc_viewer&amp;center_on_screen=true&amp;width=950&amp;height=800&amp;_dd2=%26f%3Dsld%26c%3Dtrue%26os%3D254126%26oe%3D254133" xr:uid="{DF39E7E0-2CEC-456A-9BC6-131CB0625110}"/>
    <hyperlink ref="G42" r:id="rId199" display="fdsup://factset/Doc Viewer Single?float_window=true&amp;positioning_strategy=center_on_screen&amp;_doc_docfn=U2FsdGVkX18ArNufHQhAwr5l2nrjCAvSeEMobxPgOJe4RY5HFYEKa71jMlCkOTEEXdIbq8qUMzGG7YbFG974rCRrRfbbGbRLZvO8nnsFFgM=&amp;_app_id=central_doc_viewer&amp;center_on_screen=true&amp;width=950&amp;height=800&amp;_dd2=%26f%3Dsld%26c%3Dtrue%26os%3D434982%26oe%3D434989" xr:uid="{6A3F20C1-1405-4954-9B96-F06A0BDA12F0}"/>
    <hyperlink ref="H42" r:id="rId200" display="fdsup://factset/Doc Viewer Single?float_window=true&amp;positioning_strategy=center_on_screen&amp;_doc_docfn=U2FsdGVkX18ZLYyaRwx5hEL1AZru8MQg22LXfbHFdg7JpIvQF5fc3xy1CdunZAOlovGfFhcJf9iHT2UT2yglBU2b/hWojwU+JP6OPA1rhl0=&amp;_app_id=central_doc_viewer&amp;center_on_screen=true&amp;width=950&amp;height=800&amp;_dd2=%26f%3Dsld%26c%3Dtrue%26os%3D270332%26oe%3D270339" xr:uid="{C141845D-1732-4E8B-A430-E599B5BBA42A}"/>
    <hyperlink ref="I42" r:id="rId201" display="fdsup://factset/Doc Viewer Single?float_window=true&amp;positioning_strategy=center_on_screen&amp;_doc_docfn=U2FsdGVkX1+NWIxtwBQU278z68cYnTAnkqDTJklh7DRG8QBV3EDimNfZPn+jXWw4kEWuBdwTGn9rrQch962c6x/RVg67zrQ77Bu0LzLLc9g=&amp;_app_id=central_doc_viewer&amp;center_on_screen=true&amp;width=950&amp;height=800&amp;_dd2=%26f%3Dsld%26c%3Dtrue%26os%3D253844%26oe%3D253851" xr:uid="{70A1FB73-4BE9-4256-9921-E8B6E6E38898}"/>
    <hyperlink ref="J42" r:id="rId202" display="fdsup://factset/Doc Viewer Single?float_window=true&amp;positioning_strategy=center_on_screen&amp;_doc_docfn=U2FsdGVkX1+M7Car08V/vD3gjW6W1WkaefuTlEZoQfKvEVYWElbTgDDkGnWrl0YleokIZHtUDnXuuRJvurniHWsifqqOx992HXMIhHpk1pw=&amp;_app_id=central_doc_viewer&amp;center_on_screen=true&amp;width=950&amp;height=800&amp;_dd2=%26f%3Dsld%26c%3Dtrue%26os%3D255128%26oe%3D255135" xr:uid="{B7DFF5F5-2433-454B-8729-DCC96A86810C}"/>
    <hyperlink ref="K42" r:id="rId203" display="fdsup://factset/Doc Viewer Single?float_window=true&amp;positioning_strategy=center_on_screen&amp;_doc_docfn=U2FsdGVkX18oE7oZ3tCzdgfHQUa8NQ+NW+pVbuqLcNwVX8gGaK+apPZQAPsvkmKBfBPAixiQlkthXA+oqw4RFpaeBCzwsGWy1oPhN8I+kDg=&amp;_app_id=central_doc_viewer&amp;center_on_screen=true&amp;width=950&amp;height=800&amp;_dd2=%26f%3Dsld%26c%3Dtrue%26os%3D266403%26oe%3D266410" xr:uid="{6EDC18BA-7170-4121-ABD1-04B5E9E0105D}"/>
    <hyperlink ref="B46" r:id="rId204" display="fdsup://factset/Doc Viewer Single?float_window=true&amp;positioning_strategy=center_on_screen&amp;_doc_docfn=U2FsdGVkX1/ezv8TwFOJeTf1t9lcYTpchghFYKwG+luMahijkGCHlko0KFo4aG4I9eJ+7OS+NSp6lgEH/MdRxV7j7w+mK63RmDrJsRC7Kjo=&amp;_app_id=central_doc_viewer&amp;center_on_screen=true&amp;width=950&amp;height=800&amp;_dd2=%26f%3Dsld%26c%3Dtrue%26os%3D176153%26oe%3D176159" xr:uid="{8E61FA44-46B4-4B76-810A-DD822AF31E4E}"/>
    <hyperlink ref="C46" r:id="rId205" display="fdsup://factset/Doc Viewer Single?float_window=true&amp;positioning_strategy=center_on_screen&amp;_doc_docfn=U2FsdGVkX1/LLHFObVhjeEAg7iCXfRrqV1uy4qVEtYFE+ogyF+w+HTaiXRaDrL8TXkK2HHV9S8ObL46IPzQPc7NpeJ8yC7Gl5P2+Bmv/wls=&amp;_app_id=central_doc_viewer&amp;center_on_screen=true&amp;width=950&amp;height=800&amp;_dd2=%26f%3Dsld%26c%3Dtrue%26os%3D179636%26oe%3D179643" xr:uid="{298903EF-BBA2-41D4-835C-B8E56A173152}"/>
    <hyperlink ref="D46" r:id="rId206" display="fdsup://factset/Doc Viewer Single?float_window=true&amp;positioning_strategy=center_on_screen&amp;_doc_docfn=U2FsdGVkX18PJRLa6e2LQkeA55WPMyoxKiP4ZzxL706Il0ASUS8+PCnRA/xQP1DjTYUdr62+1jlx7UHUZISdD8M8+jwFUrc/IM3vpARbd1A=&amp;_app_id=central_doc_viewer&amp;center_on_screen=true&amp;width=950&amp;height=800&amp;_dd2=%26f%3Dsld%26c%3Dtrue%26os%3D183047%26oe%3D183054" xr:uid="{D8597899-6142-4A9C-BBFF-6FA008266632}"/>
    <hyperlink ref="E46" r:id="rId207" display="fdsup://factset/Doc Viewer Single?float_window=true&amp;positioning_strategy=center_on_screen&amp;_doc_docfn=U2FsdGVkX1+0C3Gk0ZqYL2pbQp1kJYHYGDlIhRLdExgCSYiY4sjcZFb29OxQ4kLEjYXKibLT8WifagBkRWv8wfBgCQmah3VuXUGRjfJy+uE=&amp;_app_id=central_doc_viewer&amp;center_on_screen=true&amp;width=950&amp;height=800&amp;_dd2=%26f%3Dsld%26c%3Dtrue%26os%3D186159%26oe%3D186166" xr:uid="{70EB59CB-79F9-44B3-9E3A-FDF6B58D0986}"/>
    <hyperlink ref="F46" r:id="rId208" display="fdsup://factset/Doc Viewer Single?float_window=true&amp;positioning_strategy=center_on_screen&amp;_doc_docfn=U2FsdGVkX1/ZfvVjrMpAi3dcetZadiW2C9E45qPTvkv/H8Rwdsr/bvyxqLsKF7IsHlZUo9LqHU6FT9eBkAnMfiK1z2kefqn7te7prSMTsRk=&amp;_app_id=central_doc_viewer&amp;center_on_screen=true&amp;width=950&amp;height=800&amp;_dd2=%26f%3Dsld%26c%3Dtrue%26os%3D262854%26oe%3D262861" xr:uid="{D460B48F-A49B-4723-BDBC-08EFB81FAD69}"/>
    <hyperlink ref="G46" r:id="rId209" display="fdsup://factset/Doc Viewer Single?float_window=true&amp;positioning_strategy=center_on_screen&amp;_doc_docfn=U2FsdGVkX19BVmEi/OxbnmJkRm+GnHznMeZC4vrqWA2zchP1keHnNmYKbxoglh2LPg405Q3X7vjts/VpRW9GRjrjpqAkfRthYMjgRvI2sMg=&amp;_app_id=central_doc_viewer&amp;center_on_screen=true&amp;width=950&amp;height=800&amp;_dd2=%26f%3Dsld%26c%3Dtrue%26os%3D443715%26oe%3D443722" xr:uid="{3740FF87-C5DA-4CF1-9A9C-5E7ABB64B0B0}"/>
    <hyperlink ref="H46" r:id="rId210" display="fdsup://factset/Doc Viewer Single?float_window=true&amp;positioning_strategy=center_on_screen&amp;_doc_docfn=U2FsdGVkX18AcDTGHZyZhwoVMvHQeVn32tjVKp7gOBaAd8XvBTUHPqAPIFzILId6lehmuAN4uYkerrzslSUpIvZzvWnlTss8ZNPr+2JcyW4=&amp;_app_id=central_doc_viewer&amp;center_on_screen=true&amp;width=950&amp;height=800&amp;_dd2=%26f%3Dsld%26c%3Dtrue%26os%3D279864%26oe%3D279871" xr:uid="{BCEA59E2-DD8F-47D6-9A7F-8B2F242604E0}"/>
    <hyperlink ref="I46" r:id="rId211" display="fdsup://factset/Doc Viewer Single?float_window=true&amp;positioning_strategy=center_on_screen&amp;_doc_docfn=U2FsdGVkX19YW77iz5E8OlMJv6dg0HwjaJ4OHYV9O39abh7xhbxmfW2gPuli9Yj9+QqBPkGYmg4ZG5+Gyun956uzMxNujQ+1WbOeqz9lc7E=&amp;_app_id=central_doc_viewer&amp;center_on_screen=true&amp;width=950&amp;height=800&amp;_dd2=%26f%3Dsld%26c%3Dtrue%26os%3D264146%26oe%3D264151" xr:uid="{514F8F40-8F4D-4260-ACDE-053E4206F38B}"/>
    <hyperlink ref="J46" r:id="rId212" display="fdsup://factset/Doc Viewer Single?float_window=true&amp;positioning_strategy=center_on_screen&amp;_doc_docfn=U2FsdGVkX1/VZ6opCaLuKJz+VTP0sHgg8fGucE0aidU33JCv2aaJdgB9U7gTZVqx9m9p/Qp99ObXOqo1C3JYmoI47IyQWDuN4pIL9We1eGA=&amp;_app_id=central_doc_viewer&amp;center_on_screen=true&amp;width=950&amp;height=800&amp;_dd2=%26f%3Dsld%26c%3Dtrue%26os%3D265443%26oe%3D265451" xr:uid="{97ACD822-776B-4812-8FD0-6D93E410A01C}"/>
    <hyperlink ref="K46" r:id="rId213" display="fdsup://factset/Doc Viewer Single?float_window=true&amp;positioning_strategy=center_on_screen&amp;_doc_docfn=U2FsdGVkX18D0MaZIp9LnmQaMVlZNRl5VzDSnvUEI0TiKp9P03XV6516tMCpVlWb8UHAc4/1dMyYB3teazSiyPP79XtG6w2R8AlafI3OFzc=&amp;_app_id=central_doc_viewer&amp;center_on_screen=true&amp;width=950&amp;height=800&amp;_dd2=%26f%3Dsld%26c%3Dtrue%26os%3D278243%26oe%3D278250" xr:uid="{1E66BFC7-EB1C-496E-9E1B-E6A4F6398BB5}"/>
    <hyperlink ref="B47" r:id="rId214" display="fdsup://factset/Doc Viewer Single?float_window=true&amp;positioning_strategy=center_on_screen&amp;_doc_docfn=U2FsdGVkX1+wXxhHSp/ZHD5nv03c/WoSEr+Ubz2+4d2Pde/AOjgtL3PPf117ALzPKn8qR9mEnqwBMMclqH9kuLiuanFvuoTVb80T2ee2Adk=&amp;_app_id=central_doc_viewer&amp;center_on_screen=true&amp;width=950&amp;height=800&amp;_dd2=%26f%3Dsld%26c%3Dtrue%26os%3D169644%26oe%3D169651" xr:uid="{6FB052EB-F31F-495B-A31E-039C0F14D066}"/>
    <hyperlink ref="C47" r:id="rId215" display="fdsup://factset/Doc Viewer Single?float_window=true&amp;positioning_strategy=center_on_screen&amp;_doc_docfn=U2FsdGVkX18SbM2XM9J1LhoBdf7fN9M29QSK1fbVjakZjbjqRP8i0/FPrQEp8AGNzD/WmoVjS+va/oubJBzJnl6QydZmW6OJmrnA83pIaPQ=&amp;_app_id=central_doc_viewer&amp;center_on_screen=true&amp;width=950&amp;height=800&amp;_dd2=%26f%3Dsld%26c%3Dtrue%26os%3D173121%26oe%3D173128" xr:uid="{62A6A9E3-481C-4D1E-B1C8-FAD75E690667}"/>
    <hyperlink ref="D47" r:id="rId216" display="fdsup://factset/Doc Viewer Single?float_window=true&amp;positioning_strategy=center_on_screen&amp;_doc_docfn=U2FsdGVkX1+rqdH+sqrJNaKFnZdgGhBTdn65Q8KjIsCB/vJ0AWFHXtER/6UuRFW1ATTHY5dpduHu9HTBbhg5RbSN7zlWMTH2sDUouEJ+6qw=&amp;_app_id=central_doc_viewer&amp;center_on_screen=true&amp;width=950&amp;height=800&amp;_dd2=%26f%3Dsld%26c%3Dtrue%26os%3D176525%26oe%3D176532" xr:uid="{8E8E1AA9-CC63-478C-8318-D3611552D51F}"/>
    <hyperlink ref="E47" r:id="rId217" display="fdsup://factset/Doc Viewer Single?float_window=true&amp;positioning_strategy=center_on_screen&amp;_doc_docfn=U2FsdGVkX18HMSThl1JuCkgXL6YzVzhn3QIMhaWTQOsgEqHb1Fi+pciiubEO4BHqs8b4e5NDf7kquhQrAujjL7KzZPpDOi+NRxCwp6jFpG0=&amp;_app_id=central_doc_viewer&amp;center_on_screen=true&amp;width=950&amp;height=800&amp;_dd2=%26f%3Dsld%26c%3Dtrue%26os%3D179658%26oe%3D179665" xr:uid="{841DFE37-44E4-4240-89E2-6F88B777786D}"/>
    <hyperlink ref="F47" r:id="rId218" display="fdsup://factset/Doc Viewer Single?float_window=true&amp;positioning_strategy=center_on_screen&amp;_doc_docfn=U2FsdGVkX19RIhwPhOK+L8Ph10U0wcFw1tP94nqBNSDetfEyaJxoU34xcir8oTG5nGfXj7cu0OBRLgCrcjYFPrfgHuUDb7VIyittI26fwJ0=&amp;_app_id=central_doc_viewer&amp;center_on_screen=true&amp;width=950&amp;height=800&amp;_dd2=%26f%3Dsld%26c%3Dtrue%26os%3D256786%26oe%3D256793" xr:uid="{C1F5D1D5-3B2D-458A-82ED-D9C30728203E}"/>
    <hyperlink ref="G47" r:id="rId219" display="fdsup://factset/Doc Viewer Single?float_window=true&amp;positioning_strategy=center_on_screen&amp;_doc_docfn=U2FsdGVkX1/EHGXMPhL2vf2LXn8So3AwdPNCG+yFHydLq0c+LOoan9Fw/TjsHx0KtPZE7UnCGzbyk0U4ZUcTUPHx0m+RZ7Tq9fSAOoJ7ouE=&amp;_app_id=central_doc_viewer&amp;center_on_screen=true&amp;width=950&amp;height=800&amp;_dd2=%26f%3Dsld%26c%3Dtrue%26os%3D437644%26oe%3D437651" xr:uid="{51555D4E-E1DE-4C44-9136-7AE373378D53}"/>
    <hyperlink ref="H47" r:id="rId220" display="fdsup://factset/Doc Viewer Single?float_window=true&amp;positioning_strategy=center_on_screen&amp;_doc_docfn=U2FsdGVkX1/ElEYu8YyDNBpLA2M2chU7ehCWuzmDlSBE3jd4oDjZkIVC6/LOizUDVPLUs8fpltRLLYcSYG1KuyKz+NqESv8ol1KR49xI9dQ=&amp;_app_id=central_doc_viewer&amp;center_on_screen=true&amp;width=950&amp;height=800&amp;_dd2=%26f%3Dsld%26c%3Dtrue%26os%3D272997%26oe%3D273004" xr:uid="{74DC071F-DE80-44B7-AE82-0421E7331AC7}"/>
    <hyperlink ref="I47" r:id="rId221" display="fdsup://factset/Doc Viewer Single?float_window=true&amp;positioning_strategy=center_on_screen&amp;_doc_docfn=U2FsdGVkX1/yRSPbzPZBfjdyfYNynzno/SyzB9efUzteW5NTjOBbR6xSgUsEwTevWc3oWDC2rTT/wgs9y7JTrfcVipNcxFZ4wxguaKXfSV4=&amp;_app_id=central_doc_viewer&amp;center_on_screen=true&amp;width=950&amp;height=800&amp;_dd2=%26f%3Dsld%26c%3Dtrue%26os%3D257261%26oe%3D257268" xr:uid="{11A34D61-1130-4A78-B2D9-F95CC08350A9}"/>
    <hyperlink ref="J47" r:id="rId222" display="fdsup://factset/Doc Viewer Single?float_window=true&amp;positioning_strategy=center_on_screen&amp;_doc_docfn=U2FsdGVkX19JmrRP+ET/R1bVjN6KnHOZb0JAzly/Q/lxiuWuR0YX1ZJq9MoR504FNcBdTGVik4kWZS9RuSaDtK6DvSQEXK35Y9Tryntq2V4=&amp;_app_id=central_doc_viewer&amp;center_on_screen=true&amp;width=950&amp;height=800&amp;_dd2=%26f%3Dsld%26c%3Dtrue%26os%3D258545%26oe%3D258552" xr:uid="{D7AC8F5E-4C8A-4A75-ADBE-DAD2D1E29AA9}"/>
    <hyperlink ref="K47" r:id="rId223" display="fdsup://factset/Doc Viewer Single?float_window=true&amp;positioning_strategy=center_on_screen&amp;_doc_docfn=U2FsdGVkX18IcHEfhjY8iKSbU4uxLEv1jNCsKmbP2dOsamE2iLMbHdnI+QPx0I5KXw+COlkzLJjTrWZzTZM9JhD9q489HY9olX1/NBxdank=&amp;_app_id=central_doc_viewer&amp;center_on_screen=true&amp;width=950&amp;height=800&amp;_dd2=%26f%3Dsld%26c%3Dtrue%26os%3D271342%26oe%3D271349" xr:uid="{7B347E20-CBAB-405A-8F57-3AE079BC0D6A}"/>
    <hyperlink ref="B48" r:id="rId224" display="fdsup://factset/Doc Viewer Single?float_window=true&amp;positioning_strategy=center_on_screen&amp;_doc_docfn=U2FsdGVkX19RIwB8UF4XLFfaOyD64eQLwUJ2CjQkm1Fh70y0Qx1KiOVqmmMQ5og16xZ8yil/8kKbJnpCfQjBsGDL9LaozArFR4xlhpsijp4=&amp;_app_id=central_doc_viewer&amp;center_on_screen=true&amp;width=950&amp;height=800&amp;_dd2=%26f%3Dsld%26c%3Dtrue%26os%3D170445%26oe%3D170452" xr:uid="{7E6B5C6C-0085-4DF0-9E22-8FB47A49768F}"/>
    <hyperlink ref="C48" r:id="rId225" display="fdsup://factset/Doc Viewer Single?float_window=true&amp;positioning_strategy=center_on_screen&amp;_doc_docfn=U2FsdGVkX1+zw6XcL5YsqOposPHcp+th1keDqHvwwYHvjuLkkcXjxLO8ZMIJ3ssnqx70kIn0vU6RddPkorOsJggu1Ug/oX9PbMyWYD0lF8M=&amp;_app_id=central_doc_viewer&amp;center_on_screen=true&amp;width=950&amp;height=800&amp;_dd2=%26f%3Dsld%26c%3Dtrue%26os%3D173922%26oe%3D173929" xr:uid="{2A2CC50C-F960-4771-B2AE-D93E96427D23}"/>
    <hyperlink ref="D48" r:id="rId226" display="fdsup://factset/Doc Viewer Single?float_window=true&amp;positioning_strategy=center_on_screen&amp;_doc_docfn=U2FsdGVkX18HXsAELfjvaNN55gdLMjqLago2qlZRsF9FD2DB402sNVM1jtzWNBq/ney/dSgJkNW+DYEQ1YMSpYcDlP5ih6oTp6NU6fH2IG4=&amp;_app_id=central_doc_viewer&amp;center_on_screen=true&amp;width=950&amp;height=800&amp;_dd2=%26f%3Dsld%26c%3Dtrue%26os%3D177326%26oe%3D177333" xr:uid="{722AD6D7-2BE0-4212-93FD-F883E84C9349}"/>
    <hyperlink ref="E48" r:id="rId227" display="fdsup://factset/Doc Viewer Single?float_window=true&amp;positioning_strategy=center_on_screen&amp;_doc_docfn=U2FsdGVkX1/O3fHyN2UF7wwrdON8SyNZGEAd6fpumHcHPmKXVkfijXQuNZh557d/+XBWck4mlxk5ZFy5qwJMO8yatwFVcUQQFvYL6fcWTYo=&amp;_app_id=central_doc_viewer&amp;center_on_screen=true&amp;width=950&amp;height=800&amp;_dd2=%26f%3Dsld%26c%3Dtrue%26os%3D180459%26oe%3D180466" xr:uid="{404E6BE7-00B0-4C72-A283-BBAF97A5147A}"/>
    <hyperlink ref="F48" r:id="rId228" display="fdsup://factset/Doc Viewer Single?float_window=true&amp;positioning_strategy=center_on_screen&amp;_doc_docfn=U2FsdGVkX18NPeSgoYbILhcj97jKLtir/27Ph1k2zFfWSj+c9tACSYJT9or08vZwuXank3E68AAlz18QqUTMdmZnPL6zkD00nEysDVYItLw=&amp;_app_id=central_doc_viewer&amp;center_on_screen=true&amp;width=950&amp;height=800&amp;_dd2=%26f%3Dsld%26c%3Dtrue%26os%3D257531%26oe%3D257538" xr:uid="{C4832336-2748-41B6-8B83-8C9403914428}"/>
    <hyperlink ref="G48" r:id="rId229" display="fdsup://factset/Doc Viewer Single?float_window=true&amp;positioning_strategy=center_on_screen&amp;_doc_docfn=U2FsdGVkX189iJy207FRO0CYNLnInzAM/LE6WS8clQhh++lHVHIym/B48HhDkNEXe8bMRhrWzS0fD/uxuLx8rkPtHAcdSTXRej06V+TvYNo=&amp;_app_id=central_doc_viewer&amp;center_on_screen=true&amp;width=950&amp;height=800&amp;_dd2=%26f%3Dsld%26c%3Dtrue%26os%3D438389%26oe%3D438396" xr:uid="{47B789E0-3AD8-43DF-ACD3-732A8E74A022}"/>
    <hyperlink ref="H48" r:id="rId230" display="fdsup://factset/Doc Viewer Single?float_window=true&amp;positioning_strategy=center_on_screen&amp;_doc_docfn=U2FsdGVkX1+ajOyr1qUc91K92HtAKB1OV3ESRf0g1fBUmpN0zER0BZtLCPf07pnwfz92yJhGlRahiVesKgYLGYjVb5WuRemLTb64KMDgIoU=&amp;_app_id=central_doc_viewer&amp;center_on_screen=true&amp;width=950&amp;height=800&amp;_dd2=%26f%3Dsld%26c%3Dtrue%26os%3D273742%26oe%3D273749" xr:uid="{6084E3FE-635E-4FD4-A385-DECC69AD5B8F}"/>
    <hyperlink ref="I48" r:id="rId231" display="fdsup://factset/Doc Viewer Single?float_window=true&amp;positioning_strategy=center_on_screen&amp;_doc_docfn=U2FsdGVkX1+lDdJVY7bS4wy9uiLr0FqpGa/UfT79DAwvONxynC2bl50UDvGo8wZQkYIANNRS9+hMFdd4hHv7dpv8Oy7gjZNGjLUeMuVkvj0=&amp;_app_id=central_doc_viewer&amp;center_on_screen=true&amp;width=950&amp;height=800&amp;_dd2=%26f%3Dsld%26c%3Dtrue%26os%3D258006%26oe%3D258013" xr:uid="{94F09994-664F-4FE9-8142-1D9331D8AFFB}"/>
    <hyperlink ref="J48" r:id="rId232" display="fdsup://factset/Doc Viewer Single?float_window=true&amp;positioning_strategy=center_on_screen&amp;_doc_docfn=U2FsdGVkX1/+J8v7FcSCB8gMe61FC911TuOkTm4Qt/5uWadvNDukJEfQ/lJX5/ELSx0/tSG13SYGkyWt7o8veLZlboFAgohjOj1y/tCRuY0=&amp;_app_id=central_doc_viewer&amp;center_on_screen=true&amp;width=950&amp;height=800&amp;_dd2=%26f%3Dsld%26c%3Dtrue%26os%3D259290%26oe%3D259297" xr:uid="{8F3A31A3-11B4-4AE6-B4D3-F38B952A237D}"/>
    <hyperlink ref="K48" r:id="rId233" display="fdsup://factset/Doc Viewer Single?float_window=true&amp;positioning_strategy=center_on_screen&amp;_doc_docfn=U2FsdGVkX18q9osfFcynUVx02kB9KjlZZw+m1sVTt0eqDOaCg8ugWkw3c51c0VkacwZ4iFGoU2N+KjYgJHkG8OqqTcXkutpT3qzl/0QQ8is=&amp;_app_id=central_doc_viewer&amp;center_on_screen=true&amp;width=950&amp;height=800&amp;_dd2=%26f%3Dsld%26c%3Dtrue%26os%3D272087%26oe%3D272094" xr:uid="{93E586AF-18FB-4A8A-8C53-5663C8D52FF9}"/>
    <hyperlink ref="B50" r:id="rId234" display="fdsup://factset/Doc Viewer Single?float_window=true&amp;positioning_strategy=center_on_screen&amp;_doc_docfn=U2FsdGVkX18EZj1qaF2l31LQALDT+d32mQB+QCJ3hULXyKpZDVCmCy6UaY7myNDrBJSpq2MgTbu4S9HfVsgV0tACn2GEf3M9TXXbJuH6q34=&amp;_app_id=central_doc_viewer&amp;center_on_screen=true&amp;width=950&amp;height=800&amp;_dd2=%26f%3Dsld%26c%3Dtrue%26os%3D171257%26oe%3D171260" xr:uid="{E41609C9-5DDE-4FFB-8F6B-5BFE4FB24064}"/>
    <hyperlink ref="C50" r:id="rId235" display="fdsup://factset/Doc Viewer Single?float_window=true&amp;positioning_strategy=center_on_screen&amp;_doc_docfn=U2FsdGVkX18Qr/j33IK8VV4dww1rnx/M//aV5TZPZaOXRiQ8lgue1KzSOncuD9thCi5vPMkkNOwfPXzrRhodZQoiX5BXS/lqvifLNgERbLc=&amp;_app_id=central_doc_viewer&amp;center_on_screen=true&amp;width=950&amp;height=800&amp;_dd2=%26f%3Dsld%26c%3Dtrue%26os%3D174734%26oe%3D174737" xr:uid="{E96A637E-9F2C-4563-9DE1-441850B32026}"/>
    <hyperlink ref="D50" r:id="rId236" display="fdsup://factset/Doc Viewer Single?float_window=true&amp;positioning_strategy=center_on_screen&amp;_doc_docfn=U2FsdGVkX1/akndR9C4V8DI7aECPA+YjHkUMSmJb6pYE/2HsOvHo7PndjAdU6mAVWHnYVjzKib121vljgO317eysLjsOnHlIpiloLbGHDF4=&amp;_app_id=central_doc_viewer&amp;center_on_screen=true&amp;width=950&amp;height=800&amp;_dd2=%26f%3Dsld%26c%3Dtrue%26os%3D178138%26oe%3D178141" xr:uid="{A3B1DBE1-AB58-434B-A42E-7381A5DD404F}"/>
    <hyperlink ref="E50" r:id="rId237" display="fdsup://factset/Doc Viewer Single?float_window=true&amp;positioning_strategy=center_on_screen&amp;_doc_docfn=U2FsdGVkX18CV3D6RRKQnB/CDib/Wd+LrhPuAz1tdTNKB6Hbg/+9k2FvUp3T7G3OptoFf0c67mN5ct25bfJ0zhOwcPVVnER3uwE8bfD+2ts=&amp;_app_id=central_doc_viewer&amp;center_on_screen=true&amp;width=950&amp;height=800&amp;_dd2=%26f%3Dsld%26c%3Dtrue%26os%3D181271%26oe%3D181274" xr:uid="{ABEABBC7-B9A1-4645-8DE8-7C6D145DF6A0}"/>
    <hyperlink ref="F50" r:id="rId238" display="fdsup://factset/Doc Viewer Single?float_window=true&amp;positioning_strategy=center_on_screen&amp;_doc_docfn=U2FsdGVkX19MCy8mdWAAbx/cNmpOQUmj/9tOyaI6rLBlym6sSPFJv4jyVVuoNRAxKCQpz14YDkvXzHfEN3XKPL6iRfkE4iulJppKEQl04ww=&amp;_app_id=central_doc_viewer&amp;center_on_screen=true&amp;width=950&amp;height=800&amp;_dd2=%26f%3Dsld%26c%3Dtrue%26os%3D258288%26oe%3D258293" xr:uid="{316332CA-772D-4817-8292-B057A411D762}"/>
    <hyperlink ref="G50" r:id="rId239" display="fdsup://factset/Doc Viewer Single?float_window=true&amp;positioning_strategy=center_on_screen&amp;_doc_docfn=U2FsdGVkX19V4Ndegd3uJ+De0AFpbox9XgagSMYt/y1LpKic6hVOHY1557G2rlFxK9pNUSIUWtFOi0CjB/mp7XOlQFYXgofOEu0wHNLBsD8=&amp;_app_id=central_doc_viewer&amp;center_on_screen=true&amp;width=950&amp;height=800&amp;_dd2=%26f%3Dsld%26c%3Dtrue%26os%3D439146%26oe%3D439151" xr:uid="{BA5DB573-F577-4455-B40D-4586FE16DBE3}"/>
    <hyperlink ref="H50" r:id="rId240" display="fdsup://factset/Doc Viewer Single?float_window=true&amp;positioning_strategy=center_on_screen&amp;_doc_docfn=U2FsdGVkX18VQBeiFmvnmTkIOgLjDguNH/enopLDqZoBxkQy9a0d1aHjC3STGvVE2xsLHVKAFOJ1nnYR+NvBRKR1T1tvWb8R0flU5T57rR0=&amp;_app_id=central_doc_viewer&amp;center_on_screen=true&amp;width=950&amp;height=800&amp;_dd2=%26f%3Dsld%26c%3Dtrue%26os%3D274499%26oe%3D274504" xr:uid="{86ED556D-8F18-426B-968B-9B74A53BC249}"/>
    <hyperlink ref="I50" r:id="rId241" display="fdsup://factset/Doc Viewer Single?float_window=true&amp;positioning_strategy=center_on_screen&amp;_doc_docfn=U2FsdGVkX19SKlcmo5BPUnuZnhs1tliwwUMK+wUpncEAXDzXoZ/2/EMnIkFl1fU/d8iFpbPQflzW57zT5pyB/a5Oym4Fw7oKCEFkE04Toys=&amp;_app_id=central_doc_viewer&amp;center_on_screen=true&amp;width=950&amp;height=800&amp;_dd2=%26f%3Dsld%26c%3Dtrue%26os%3D258763%26oe%3D258768" xr:uid="{E04493F1-E19C-4865-92A4-D7AF1AC4E7B2}"/>
    <hyperlink ref="J50" r:id="rId242" display="fdsup://factset/Doc Viewer Single?float_window=true&amp;positioning_strategy=center_on_screen&amp;_doc_docfn=U2FsdGVkX18oo8X1ka7KnNaS/1x5M/Z52B8HafmmwZsIjD1+yeIZuCFZweIqR9LAzh+i9NwLMq5+a+1bMrcYXDnWUTEStwIMwGT+IYpM5ck=&amp;_app_id=central_doc_viewer&amp;center_on_screen=true&amp;width=950&amp;height=800&amp;_dd2=%26f%3Dsld%26c%3Dtrue%26os%3D260047%26oe%3D260052" xr:uid="{27021557-D9AF-457F-ABAD-C13FBFE098FE}"/>
    <hyperlink ref="K50" r:id="rId243" display="fdsup://factset/Doc Viewer Single?float_window=true&amp;positioning_strategy=center_on_screen&amp;_doc_docfn=U2FsdGVkX193NKu6mlKzLxhbnAdfD8Jn+n6Gz2Nuucp27lWI2og2mx1oqnl17p2LOVxFn6hV+OlJbP+X4wiT8UMKQ8/e+UA/077H+u8umaQ=&amp;_app_id=central_doc_viewer&amp;center_on_screen=true&amp;width=950&amp;height=800&amp;_dd2=%26f%3Dsld%26c%3Dtrue%26os%3D272844%26oe%3D272849" xr:uid="{ABCC41CA-EB47-46B3-AD1C-6C417D9283D7}"/>
    <hyperlink ref="B51" r:id="rId244" display="fdsup://factset/Doc Viewer Single?float_window=true&amp;positioning_strategy=center_on_screen&amp;_doc_docfn=U2FsdGVkX19ybf5ONKWaE+0OnWtJM60n7WoR3Hl5V7qT1FOAPU7sWqSB7Yj07sxX09AgQbuixZI7A8yRvPns3teQhavA0BVe/XJjYMOMpRE=&amp;_app_id=central_doc_viewer&amp;center_on_screen=true&amp;width=950&amp;height=800&amp;_dd2=%26f%3Dsld%26c%3Dtrue%26os%3D174500%26oe%3D174503" xr:uid="{3CACB7B3-8049-4228-96E6-338C49A141C1}"/>
    <hyperlink ref="C51" r:id="rId245" display="fdsup://factset/Doc Viewer Single?float_window=true&amp;positioning_strategy=center_on_screen&amp;_doc_docfn=U2FsdGVkX18DrYx0I0OZIFXc3xfohabMBHGl5UEBiCxKQu3Bp2foku379EULlDCu63ATv6BbmM9AiDMuM6IegonlQOD3+0YiRGZNiT1503s=&amp;_app_id=central_doc_viewer&amp;center_on_screen=true&amp;width=950&amp;height=800&amp;_dd2=%26f%3Dsld%26c%3Dtrue%26os%3D177978%26oe%3D177983" xr:uid="{54537362-CE22-4F5D-ACDB-FAAFC24DE781}"/>
    <hyperlink ref="D51" r:id="rId246" display="fdsup://factset/Doc Viewer Single?float_window=true&amp;positioning_strategy=center_on_screen&amp;_doc_docfn=U2FsdGVkX1+dxZbbOIoOWpKKR3LWlZxx4a9YpwsAkARKDPUV8ZZLTXpDKCxTfP7tXFcB1mTIapBvZzSkkD+3a1Bro6kEN7yiByBAWS6OetE=&amp;_app_id=central_doc_viewer&amp;center_on_screen=true&amp;width=950&amp;height=800&amp;_dd2=%26f%3Dsld%26c%3Dtrue%26os%3D181388%26oe%3D181393" xr:uid="{CCD56674-3FC5-40B4-95F6-8F595E67D4E1}"/>
    <hyperlink ref="E51" r:id="rId247" display="fdsup://factset/Doc Viewer Single?float_window=true&amp;positioning_strategy=center_on_screen&amp;_doc_docfn=U2FsdGVkX1/6glF95GJzlwqMPIbJpNtgrDPU+nKoqhnTWX2R1VYYXY5+Dcv/a9OT11sB4pU7dsWTgjkqlwXz/mfFrbHND1TQCdSXtODG0Tc=&amp;_app_id=central_doc_viewer&amp;center_on_screen=true&amp;width=950&amp;height=800&amp;_dd2=%26f%3Dsld%26c%3Dtrue%26os%3D184501%26oe%3D184506" xr:uid="{B6C796F4-3A42-4CF0-821E-86A20C96C5D6}"/>
    <hyperlink ref="F51" r:id="rId248" display="fdsup://factset/Doc Viewer Single?float_window=true&amp;positioning_strategy=center_on_screen&amp;_doc_docfn=U2FsdGVkX1+FBBouUjkHc1LXtt2y5LBIumeYXw5kA2vQBX1o14zHDUVPk2V/hbG4G5wx1AKJTFAkTZ+J1Fnzbvn4shhCKSH9trrgp0lIHBI=&amp;_app_id=central_doc_viewer&amp;center_on_screen=true&amp;width=950&amp;height=800&amp;_dd2=%26f%3Dsld%26c%3Dtrue%26os%3D261309%26oe%3D261311" xr:uid="{BAA49289-EBEB-4AA9-AA04-8D99D27B6D70}"/>
    <hyperlink ref="G51" r:id="rId249" display="fdsup://factset/Doc Viewer Single?float_window=true&amp;positioning_strategy=center_on_screen&amp;_doc_docfn=U2FsdGVkX1+0mykdXqfzOf+PlEmTOojEWNFe15MV55Zlk41aBf/+hfxe6IiJ/jx0MkEs4wo/gTFB+li8XFYnK0qSnBjs6QKqQ3dTpMgBLjY=&amp;_app_id=central_doc_viewer&amp;center_on_screen=true&amp;width=950&amp;height=800&amp;_dd2=%26f%3Dsld%26c%3Dtrue%26os%3D442172%26oe%3D442177" xr:uid="{8BB3275F-7FBB-4F9F-8614-F379A185DAA8}"/>
    <hyperlink ref="H51" r:id="rId250" display="fdsup://factset/Doc Viewer Single?float_window=true&amp;positioning_strategy=center_on_screen&amp;_doc_docfn=U2FsdGVkX1+CL+S4UfQ/lRzq5TI0lco7ZJ/MTfxq6ELGvt3zY9ts3AzYcz+eau7IHmSB8zh3oDrE3Tpq4WKww+EFu8Y08sCHPsgkgkGFYeI=&amp;_app_id=central_doc_viewer&amp;center_on_screen=true&amp;width=950&amp;height=800&amp;_dd2=%26f%3Dsld%26c%3Dtrue%26os%3D277522%26oe%3D277525" xr:uid="{607B9739-59C2-450A-B9E2-002997AA9C53}"/>
    <hyperlink ref="I51" r:id="rId251" display="fdsup://factset/Doc Viewer Single?float_window=true&amp;positioning_strategy=center_on_screen&amp;_doc_docfn=U2FsdGVkX1+DDi92S/6MGof/9/LwqACCUk928S7czCbgnnuLBLoLHlA2Ibfsp9ZjFQv0HJc5EnSA7DWdLnh4xT5Oi29X8O1eA8XxbwaV/48=&amp;_app_id=central_doc_viewer&amp;center_on_screen=true&amp;width=950&amp;height=800&amp;_dd2=%26f%3Dsld%26c%3Dtrue%26os%3D261789%26oe%3D261794" xr:uid="{21584F16-3589-45B6-81B7-46882D8C050F}"/>
    <hyperlink ref="J51" r:id="rId252" display="fdsup://factset/Doc Viewer Single?float_window=true&amp;positioning_strategy=center_on_screen&amp;_doc_docfn=U2FsdGVkX19xklV8IIHaUhngjVEBdPiliAD77DuVMapF4nAdoPadiaD1iOUFO713TBqEptasvWEd8zjwGmEO2E2vYsqdwP6DQEhuTecgOlA=&amp;_app_id=central_doc_viewer&amp;center_on_screen=true&amp;width=950&amp;height=800&amp;_dd2=%26f%3Dsld%26c%3Dtrue%26os%3D263070%26oe%3D263075" xr:uid="{16EC5BC1-ECC7-4CD2-A618-C1C606685855}"/>
    <hyperlink ref="K51" r:id="rId253" display="fdsup://factset/Doc Viewer Single?float_window=true&amp;positioning_strategy=center_on_screen&amp;_doc_docfn=U2FsdGVkX18KqVPxLf7ufpIF2aZ7V2K4YD46g1aU/KDtsEYoravF9cUmRDpo0kGV2m47ZE4QtmnENd40TNDpUIOdu6ejUFc5/YXpspc0QAc=&amp;_app_id=central_doc_viewer&amp;center_on_screen=true&amp;width=950&amp;height=800&amp;_dd2=%26f%3Dsld%26c%3Dtrue%26os%3D275867%26oe%3D275874" xr:uid="{D4232029-DC1E-4871-9385-3D109F7C963C}"/>
    <hyperlink ref="B52" r:id="rId254" display="fdsup://factset/Doc Viewer Single?float_window=true&amp;positioning_strategy=center_on_screen&amp;_doc_docfn=U2FsdGVkX1/PhHWj8tBOjHMbXQU8bQBFGT5FrEx/ECLaYo3k4blwH9UegqbIGWT/dYApYQ3yohYdFx5IawQ9WxB0CmamB9B5ABU5Oh9IlTE=&amp;_app_id=central_doc_viewer&amp;center_on_screen=true&amp;width=950&amp;height=800&amp;_dd2=%26f%3Dsld%26c%3Dtrue%26os%3D168809%26oe%3D168814" xr:uid="{239F9BC0-E231-41F1-AA4B-D58E1CA43A20}"/>
    <hyperlink ref="C52" r:id="rId255" display="fdsup://factset/Doc Viewer Single?float_window=true&amp;positioning_strategy=center_on_screen&amp;_doc_docfn=U2FsdGVkX1/2tBb/bp32DS9jH7cqdualnVdvj0dmNCT2MQYvnuMZW1OVUP1CC99GTRHqvtYpIenefWZG3XCYXI39IJesWUcoFiHYTHGPA8A=&amp;_app_id=central_doc_viewer&amp;center_on_screen=true&amp;width=950&amp;height=800&amp;_dd2=%26f%3Dsld%26c%3Dtrue%26os%3D172289%26oe%3D172294" xr:uid="{996B99FE-1914-4A8E-9423-D37BDFB83315}"/>
    <hyperlink ref="B53" r:id="rId256" display="fdsup://factset/Doc Viewer Single?float_window=true&amp;positioning_strategy=center_on_screen&amp;_doc_docfn=U2FsdGVkX1/dFx+Q6I7SccsXufyhDhF2KBDbyuCUNsD5Xx//a/Rww0BxMYXMUS3aCE6Ujy3QUDi3gX8npBDYm/XSNg7B1okSPjOhhWZJQ3M=&amp;_app_id=central_doc_viewer&amp;center_on_screen=true&amp;width=950&amp;height=800&amp;_dd2=%26f%3Dsld%26c%3Dtrue%26os%3D175294%26oe%3D175299" xr:uid="{949C2050-1B3B-4A1E-BEB0-33BC5BCD4A18}"/>
    <hyperlink ref="C53" r:id="rId257" display="fdsup://factset/Doc Viewer Single?float_window=true&amp;positioning_strategy=center_on_screen&amp;_doc_docfn=U2FsdGVkX18Zwo2i5ExS/8ZKD5JFDV76r7Ws3go2/BLRQjIKwt5n9tangkAFINbFt6Vxu2G336Tw5wu2uqPuOgyiKa3oizHC8GxB54WKnBg=&amp;_app_id=central_doc_viewer&amp;center_on_screen=true&amp;width=950&amp;height=800&amp;_dd2=%26f%3Dsld%26c%3Dtrue%26os%3D178776%26oe%3D178781" xr:uid="{B2844F04-23CC-44EF-82C5-3F09C45468AA}"/>
    <hyperlink ref="D53" r:id="rId258" display="fdsup://factset/Doc Viewer Single?float_window=true&amp;positioning_strategy=center_on_screen&amp;_doc_docfn=U2FsdGVkX1/BArckvyIwtheTK3M6n4HgmruSeJeGaBLr9NC42gcSTQvPzlI1NYad4KadbCWQrEa3ORlJ7hMtClxJxv9/0DKXfvetozmNf+w=&amp;_app_id=central_doc_viewer&amp;center_on_screen=true&amp;width=950&amp;height=800&amp;_dd2=%26f%3Dsld%26c%3Dtrue%26os%3D182187%26oe%3D182192" xr:uid="{5D9F08BB-7614-4C91-9236-E85B07CF0B75}"/>
    <hyperlink ref="E53" r:id="rId259" display="fdsup://factset/Doc Viewer Single?float_window=true&amp;positioning_strategy=center_on_screen&amp;_doc_docfn=U2FsdGVkX1+PDbvTO092Qezf2dA+qx4zpPDrUO07LqEZa3jf9HkQ/nLbIZsd+KEGEtpuo0TqeiCs4+GgoA4yenXa1JtBg6Jqlqh1DBEuA78=&amp;_app_id=central_doc_viewer&amp;center_on_screen=true&amp;width=950&amp;height=800&amp;_dd2=%26f%3Dsld%26c%3Dtrue%26os%3D185304%26oe%3D185311" xr:uid="{2D6A515A-F6E2-401E-A458-4A8AC2927346}"/>
    <hyperlink ref="F53" r:id="rId260" display="fdsup://factset/Doc Viewer Single?float_window=true&amp;positioning_strategy=center_on_screen&amp;_doc_docfn=U2FsdGVkX19K4Y0jPmPRvyyxsD6oP6WioJoVU/iHpFzh7tmpn1d8PDb1bgG/+wDWkjVG3L5oFahkq//GgY2eyA6PbTH2rsRpahCJy7G3SEE=&amp;_app_id=central_doc_viewer&amp;center_on_screen=true&amp;width=950&amp;height=800&amp;_dd2=%26f%3Dsld%26c%3Dtrue%26os%3D262052%26oe%3D262059" xr:uid="{CEBF8472-A05F-405A-A3A1-4F621A87D271}"/>
    <hyperlink ref="G53" r:id="rId261" display="fdsup://factset/Doc Viewer Single?float_window=true&amp;positioning_strategy=center_on_screen&amp;_doc_docfn=U2FsdGVkX1/wYvHDRAExQT456LQQwOtCZ8HN51ONS/Kzd1iCGT6bKl6XRPlMyTYFNHAIXZE0N9DlFoKc+fKhhq98nP86/2xybotb6abofZo=&amp;_app_id=central_doc_viewer&amp;center_on_screen=true&amp;width=950&amp;height=800&amp;_dd2=%26f%3Dsld%26c%3Dtrue%26os%3D442912%26oe%3D442917" xr:uid="{03DCF255-AC4A-4597-AE49-731A373FDB18}"/>
    <hyperlink ref="H56" r:id="rId262" display="fdsup://factset/Doc Viewer Single?float_window=true&amp;positioning_strategy=center_on_screen&amp;_doc_docfn=U2FsdGVkX180EGKqMYjKVoE11JXxoiAN1dnTlO4twbOBC1Wsbx545IONuULKbEKuIZZHsRUlVJ0y3h1ich3grYQzNJkQUzo1mvwSiBjRslg=&amp;_app_id=central_doc_viewer&amp;center_on_screen=true&amp;width=950&amp;height=800&amp;_dd2=%26f%3Dsld%26c%3Dtrue%26os%3D278291%26oe%3D278298" xr:uid="{E638C130-72BD-4B78-B381-56C193253A0D}"/>
    <hyperlink ref="I56" r:id="rId263" display="fdsup://factset/Doc Viewer Single?float_window=true&amp;positioning_strategy=center_on_screen&amp;_doc_docfn=U2FsdGVkX1+FW1r/H4QRsorB//HRo1PXy1wOsFTWqy8NklWEVomAJ/tWkQnkPkWerKC4sQShcGCLBSSFcb6kxU3rhl2e6pA7thdPrp0MbLA=&amp;_app_id=central_doc_viewer&amp;center_on_screen=true&amp;width=950&amp;height=800&amp;_dd2=%26f%3Dsld%26c%3Dtrue%26os%3D262562%26oe%3D262567" xr:uid="{EC5B55CC-A8B6-410D-A761-0172D1491D26}"/>
    <hyperlink ref="J56" r:id="rId264" display="fdsup://factset/Doc Viewer Single?float_window=true&amp;positioning_strategy=center_on_screen&amp;_doc_docfn=U2FsdGVkX1+ehF0rDPrimRa8qyFoEg501SZCppx9zaCdOqeFLvevgiToczLFOs0xSqQDwDOcwGmbv3oUpiAw+yRxW2bAtaTLynjIC7o6ZjA=&amp;_app_id=central_doc_viewer&amp;center_on_screen=true&amp;width=950&amp;height=800&amp;_dd2=%26f%3Dsld%26c%3Dtrue%26os%3D263843%26oe%3D263848" xr:uid="{AE69A26C-AEA0-4C56-B531-B95125405CB1}"/>
    <hyperlink ref="K56" r:id="rId265" display="fdsup://factset/Doc Viewer Single?float_window=true&amp;positioning_strategy=center_on_screen&amp;_doc_docfn=U2FsdGVkX1+Y8HcojJePLHynbKdKT3DmdZ0DongrxjmXRHE6DnjF7RKoGAYPbFioOzBgVBUhVDw44tPN8ND3BPrgVl8nyDei0y1kyFlifqU=&amp;_app_id=central_doc_viewer&amp;center_on_screen=true&amp;width=950&amp;height=800&amp;_dd2=%26f%3Dsld%26c%3Dtrue%26os%3D276644%26oe%3D276649" xr:uid="{709DDE98-9774-48BF-AEC6-A42FC7DC5D33}"/>
    <hyperlink ref="H57" r:id="rId266" display="fdsup://factset/Doc Viewer Single?float_window=true&amp;positioning_strategy=center_on_screen&amp;_doc_docfn=U2FsdGVkX19gXulM8/ticzFPXqdxX7uts+CETGIWgiOFaPfrV/qtOa+OzcM8EoMkUuQV13r6otdKeeaBAjylfjCuLSoKyxHgFXBrUu8/yqY=&amp;_app_id=central_doc_viewer&amp;center_on_screen=true&amp;width=950&amp;height=800&amp;_dd2=%26f%3Dsld%26c%3Dtrue%26os%3D279067%26oe%3D279072" xr:uid="{0F065032-ADEF-4A3E-A715-BA216E8BAB17}"/>
    <hyperlink ref="I57" r:id="rId267" display="fdsup://factset/Doc Viewer Single?float_window=true&amp;positioning_strategy=center_on_screen&amp;_doc_docfn=U2FsdGVkX18xVz/Qco5JLWWP5ob90XUQZUNkFxdseDpUWYRF9dd8Zn4mBEkNek2JZf69ThbclxkV7LPeMaULKeAdGjxekcFOE/yYJz1evtQ=&amp;_app_id=central_doc_viewer&amp;center_on_screen=true&amp;width=950&amp;height=800&amp;_dd2=%26f%3Dsld%26c%3Dtrue%26os%3D263340%26oe%3D263347" xr:uid="{47C334BD-F469-478F-9C89-9540E5E9B854}"/>
    <hyperlink ref="J57" r:id="rId268" display="fdsup://factset/Doc Viewer Single?float_window=true&amp;positioning_strategy=center_on_screen&amp;_doc_docfn=U2FsdGVkX19M3qX6mlITr0oUmdRcZlNc002O7gONlYDfU5IYStdDYwJqbTGqNkkTJFdqWnWNzcKCLj6dFBSofv54+YImIQiqja4UKV8x5mk=&amp;_app_id=central_doc_viewer&amp;center_on_screen=true&amp;width=950&amp;height=800&amp;_dd2=%26f%3Dsld%26c%3Dtrue%26os%3D264633%26oe%3D264640" xr:uid="{0C10FA38-067D-4E63-A62C-736EE0E32469}"/>
    <hyperlink ref="K57" r:id="rId269" display="fdsup://factset/Doc Viewer Single?float_window=true&amp;positioning_strategy=center_on_screen&amp;_doc_docfn=U2FsdGVkX19fnoBV1lxeurup+wkSxc5nNXfUq3HVHxAh+Ie2yYaLjJs94GER30vM2qhYV9oGNlDpVz3QSmKT1+UApmkgIpse16DhGcc/IYg=&amp;_app_id=central_doc_viewer&amp;center_on_screen=true&amp;width=950&amp;height=800&amp;_dd2=%26f%3Dsld%26c%3Dtrue%26os%3D277431%26oe%3D277438" xr:uid="{7674CF18-D720-464A-AFD9-9DA9C3F533F3}"/>
    <hyperlink ref="B62" r:id="rId270" display="fdsup://factset/Doc Viewer Single?float_window=true&amp;positioning_strategy=center_on_screen&amp;_doc_docfn=U2FsdGVkX18cQrTK5Vx5WKKmxZM57k7+3/lw6bQa7thLh+DKtls1RQgrxMrqzz4sOkYufW511PwxuuApSUeTEDCxfVBK3qve3RTCjWIVyVM=&amp;_app_id=central_doc_viewer&amp;center_on_screen=true&amp;width=950&amp;height=800&amp;_dd2=%26f%3Dsld%26c%3Dtrue%26os%3D172045%26oe%3D172052" xr:uid="{1DD50711-7D69-4DC0-BC3B-572D90C481DA}"/>
    <hyperlink ref="C62" r:id="rId271" display="fdsup://factset/Doc Viewer Single?float_window=true&amp;positioning_strategy=center_on_screen&amp;_doc_docfn=U2FsdGVkX1/hgWa/IuhZ7RFa4M35niBIdoRUcjVFsYXq09TOFNABJEU+taPdxohR5EfKLmC8PY1Ps3PAmswgPQx1Ym5sNUdW53n/CPrRpA4=&amp;_app_id=central_doc_viewer&amp;center_on_screen=true&amp;width=950&amp;height=800&amp;_dd2=%26f%3Dsld%26c%3Dtrue%26os%3D175522%26oe%3D175529" xr:uid="{FD5492F8-25E9-466B-A691-8D9BB2FB0661}"/>
    <hyperlink ref="D62" r:id="rId272" display="fdsup://factset/Doc Viewer Single?float_window=true&amp;positioning_strategy=center_on_screen&amp;_doc_docfn=U2FsdGVkX189PflEnhItG9x7Y/RMuHycJGv2JlJtTVsbb3Fd0wn4k7wY1NOGb7a9tbyHRQLRB3tI6XPDxOLIObG1sn1+qHwHReknWsOau9s=&amp;_app_id=central_doc_viewer&amp;center_on_screen=true&amp;width=950&amp;height=800&amp;_dd2=%26f%3Dsld%26c%3Dtrue%26os%3D178926%26oe%3D178933" xr:uid="{7AF166D2-1E03-4437-AF19-64D2EF92B973}"/>
    <hyperlink ref="E62" r:id="rId273" display="fdsup://factset/Doc Viewer Single?float_window=true&amp;positioning_strategy=center_on_screen&amp;_doc_docfn=U2FsdGVkX1/V1uBO1q40okiyEqKng1Hpb2KNiPOZUDvgAMlD+COYyxYLIOsI1ZyIgSWexllI/swTWD7+qbetTMjVJ+BNdnbFUENnCmiZPFo=&amp;_app_id=central_doc_viewer&amp;center_on_screen=true&amp;width=950&amp;height=800&amp;_dd2=%26f%3Dsld%26c%3Dtrue%26os%3D182059%26oe%3D182066" xr:uid="{60D604BD-FED9-4709-8F22-C75432AFFB97}"/>
    <hyperlink ref="F62" r:id="rId274" display="fdsup://factset/Doc Viewer Single?float_window=true&amp;positioning_strategy=center_on_screen&amp;_doc_docfn=U2FsdGVkX18rxGZPFSxmZQR4cBoFJzEIyd6VnZCsJa/qpaDboUz4LTU1TpVtXGVQAIsZOUDw2O7hr5sBt5Gz6DuUgPWnn5Xry+y5uvRRSZI=&amp;_app_id=central_doc_viewer&amp;center_on_screen=true&amp;width=950&amp;height=800&amp;_dd2=%26f%3Dsld%26c%3Dtrue%26os%3D259022%26oe%3D259029" xr:uid="{158DD41B-B65A-4177-B95A-052FCD4EE924}"/>
    <hyperlink ref="G62" r:id="rId275" display="fdsup://factset/Doc Viewer Single?float_window=true&amp;positioning_strategy=center_on_screen&amp;_doc_docfn=U2FsdGVkX18Kj18bKlAbVOWUrqq5H6SUZsP9e6yvQAVebTHWEW/Q/58pR+VWEGlQk82Fo9eCy4a2cnpvB4djofe1cEGPZ055lSgL8T8tJoM=&amp;_app_id=central_doc_viewer&amp;center_on_screen=true&amp;width=950&amp;height=800&amp;_dd2=%26f%3Dsld%26c%3Dtrue%26os%3D439883%26oe%3D439890" xr:uid="{F1968ACC-55A8-46A2-A971-86C820529620}"/>
    <hyperlink ref="H62" r:id="rId276" display="fdsup://factset/Doc Viewer Single?float_window=true&amp;positioning_strategy=center_on_screen&amp;_doc_docfn=U2FsdGVkX1/GDtt0b8GmtVz4Ftx0A+6fidZIOPw7vN6xYkgPgUsTWtHk/n3k4+v4oQhzXWhZeDnjxdGxl4gdkSZgqVUnyBPVJYViBpQWhjI=&amp;_app_id=central_doc_viewer&amp;center_on_screen=true&amp;width=950&amp;height=800&amp;_dd2=%26f%3Dsld%26c%3Dtrue%26os%3D275239%26oe%3D275246" xr:uid="{8DA9C491-6394-4E40-B3AF-0F821D21227B}"/>
    <hyperlink ref="I62" r:id="rId277" display="fdsup://factset/Doc Viewer Single?float_window=true&amp;positioning_strategy=center_on_screen&amp;_doc_docfn=U2FsdGVkX1/L8PQW0FAbNiYuS69QQpxx3m7LNaK/OXhsWfpX6Rs/Vw28CRxS9SZ4nYw/IkvNX+PJ+xg2X3cm4sXUm3IqdwpzdOXhdBZy+6E=&amp;_app_id=central_doc_viewer&amp;center_on_screen=true&amp;width=950&amp;height=800&amp;_dd2=%26f%3Dsld%26c%3Dtrue%26os%3D259503%26oe%3D259510" xr:uid="{C8980773-E52C-4A04-9825-E20C4C202BFB}"/>
    <hyperlink ref="J62" r:id="rId278" display="fdsup://factset/Doc Viewer Single?float_window=true&amp;positioning_strategy=center_on_screen&amp;_doc_docfn=U2FsdGVkX1+ZUMch2tpElWtCNhuobp4DG3693L967eB1ANHxotCg4Q0mVxRIgfPchN6lGb1iB42PWDRUzgAg20CmlE74swvCKXNkDITGlrE=&amp;_app_id=central_doc_viewer&amp;center_on_screen=true&amp;width=950&amp;height=800&amp;_dd2=%26f%3Dsld%26c%3Dtrue%26os%3D260787%26oe%3D260794" xr:uid="{8357234B-BE0C-471F-9156-2782794C0ACC}"/>
    <hyperlink ref="K62" r:id="rId279" display="fdsup://factset/Doc Viewer Single?float_window=true&amp;positioning_strategy=center_on_screen&amp;_doc_docfn=U2FsdGVkX1/7I+tpVZ86uEs5HIRX3eowg6z9f6dnlOzzTgAVQNXrMlPmMjjGHXYo5Rnqm/xmsPqy5OwQlQikkhHKmO8KO67KTn7Wp9PCS1E=&amp;_app_id=central_doc_viewer&amp;center_on_screen=true&amp;width=950&amp;height=800&amp;_dd2=%26f%3Dsld%26c%3Dtrue%26os%3D273584%26oe%3D273591" xr:uid="{7F922213-C925-4D39-AC71-326C7051D6FE}"/>
    <hyperlink ref="B63" r:id="rId280" display="fdsup://factset/Doc Viewer Single?float_window=true&amp;positioning_strategy=center_on_screen&amp;_doc_docfn=U2FsdGVkX18c4kVOqW3bVr8hwJLbK/bE/kwVnzy4KuvZHbjkjkqjvg3e9SN4dZaPq1t5pmeiXnlQLJRt6PaK0sfvoyacMS5N8gnO9/IcaB8=&amp;_app_id=central_doc_viewer&amp;center_on_screen=true&amp;width=950&amp;height=800&amp;_dd2=%26f%3Dsld%26c%3Dtrue%26os%3D172864%26oe%3D172869" xr:uid="{F671B0CE-3C6B-4103-AFEE-4FC9F0E2C9D7}"/>
    <hyperlink ref="C63" r:id="rId281" display="fdsup://factset/Doc Viewer Single?float_window=true&amp;positioning_strategy=center_on_screen&amp;_doc_docfn=U2FsdGVkX1/sdFwrp4bcgkTAPLgC0/lL+kLBQW+J9fNLafFcbN+0gqShm8gg6du6a5bEMgnugrxyeVE7BNahgjK+g+Vm3lbWQL+Im7Mr/N4=&amp;_app_id=central_doc_viewer&amp;center_on_screen=true&amp;width=950&amp;height=800&amp;_dd2=%26f%3Dsld%26c%3Dtrue%26os%3D176340%26oe%3D176345" xr:uid="{95CE3ED2-B4D5-42D9-992C-0EF19DD1D6E4}"/>
    <hyperlink ref="D63" r:id="rId282" display="fdsup://factset/Doc Viewer Single?float_window=true&amp;positioning_strategy=center_on_screen&amp;_doc_docfn=U2FsdGVkX18W7d9yqDLWE+1wMC0nCSQqPOeGbJh+VDKojfR08hQNPNuc1jbcCHcIGgfB9mNuTzqCvW4sTEEZqq0BQiqwUZYeMaHhmuHf2Jc=&amp;_app_id=central_doc_viewer&amp;center_on_screen=true&amp;width=950&amp;height=800&amp;_dd2=%26f%3Dsld%26c%3Dtrue%26os%3D179748%26oe%3D179755" xr:uid="{69FC9C39-BC0A-4957-959D-A6CB025AAEDD}"/>
    <hyperlink ref="E63" r:id="rId283" display="fdsup://factset/Doc Viewer Single?float_window=true&amp;positioning_strategy=center_on_screen&amp;_doc_docfn=U2FsdGVkX1+M9g9DIfgsahq+SKTt3UqCUyz+VHY8xf4EXT1+x8eCN+Uzo0g/XUwusdhbv/EK9Mf1ligTvG5i2Lx8lUgORyUpgo/27UsMcCc=&amp;_app_id=central_doc_viewer&amp;center_on_screen=true&amp;width=950&amp;height=800&amp;_dd2=%26f%3Dsld%26c%3Dtrue%26os%3D182864%26oe%3D182869" xr:uid="{B5C40F98-8B73-45D1-BEC7-63402626F894}"/>
    <hyperlink ref="F63" r:id="rId284" display="fdsup://factset/Doc Viewer Single?float_window=true&amp;positioning_strategy=center_on_screen&amp;_doc_docfn=U2FsdGVkX1+MYNU78SH2smxHaFS7P3C5Bs9iwY5LO3UqNGKJi72S32Zxp2cjGpJlOI7RL+xsJrM6GZMnkdS2c+i1sBPxS/JmWSTgaQiiA5M=&amp;_app_id=central_doc_viewer&amp;center_on_screen=true&amp;width=950&amp;height=800&amp;_dd2=%26f%3Dsld%26c%3Dtrue%26os%3D259787%26oe%3D259790" xr:uid="{3DBCF36C-599D-41E3-BC19-A6BE5ECC32F4}"/>
    <hyperlink ref="G63" r:id="rId285" display="fdsup://factset/Doc Viewer Single?float_window=true&amp;positioning_strategy=center_on_screen&amp;_doc_docfn=U2FsdGVkX18/ZJBM7ghtyjBSZbjXGQ6ASrlXMjGVW2JcYDfZer4Is5JuUe6UnR1YSXkLtHnlriir8kP8mbmkyKhvDRAJWA6t/AM852vq5Oo=&amp;_app_id=central_doc_viewer&amp;center_on_screen=true&amp;width=950&amp;height=800&amp;_dd2=%26f%3Dsld%26c%3Dtrue%26os%3D440653%26oe%3D440656" xr:uid="{6F50E1D6-C779-46EA-B72C-B492A81BC19C}"/>
    <hyperlink ref="H63" r:id="rId286" display="fdsup://factset/Doc Viewer Single?float_window=true&amp;positioning_strategy=center_on_screen&amp;_doc_docfn=U2FsdGVkX1/km71VcHbfDalgcSBEtyENlWFwip2fp/c4jCWi/3jvleab1IcBkO79pgWYrilgsO6sAZfLxBp25TwHSjv0lw6UI6NHSMMutKU=&amp;_app_id=central_doc_viewer&amp;center_on_screen=true&amp;width=950&amp;height=800&amp;_dd2=%26f%3Dsld%26c%3Dtrue%26os%3D276010%26oe%3D276017" xr:uid="{2CA4F0C1-3827-4609-96E1-84D07FDD5B3B}"/>
    <hyperlink ref="I63" r:id="rId287" display="fdsup://factset/Doc Viewer Single?float_window=true&amp;positioning_strategy=center_on_screen&amp;_doc_docfn=U2FsdGVkX19wSH+ZyR0zv6LkkK+7gXUt9SwyIU8pijbhy5ZgoBSsiURnT/7mcYqn1TF+AVnWst20kapca9c5/P1XiFErJ2nhygjAP0371uQ=&amp;_app_id=central_doc_viewer&amp;center_on_screen=true&amp;width=950&amp;height=800&amp;_dd2=%26f%3Dsld%26c%3Dtrue%26os%3D260273%26oe%3D260276" xr:uid="{9368B31E-318F-4520-973E-EA9F07C68F1F}"/>
    <hyperlink ref="J63" r:id="rId288" display="fdsup://factset/Doc Viewer Single?float_window=true&amp;positioning_strategy=center_on_screen&amp;_doc_docfn=U2FsdGVkX18lGWk2mvoqojumfPw9lR/uqqc10yhGOhJUba9KZVpftKD9wOQy1PuwY/fYNGwzNe6ouAAN3zQ6m7bNLgpfwKm2zrkzjIEQz3U=&amp;_app_id=central_doc_viewer&amp;center_on_screen=true&amp;width=950&amp;height=800&amp;_dd2=%26f%3Dsld%26c%3Dtrue%26os%3D261556%26oe%3D261558" xr:uid="{F4223470-0E82-4D77-82C1-5F30F26828F3}"/>
    <hyperlink ref="K63" r:id="rId289" display="fdsup://factset/Doc Viewer Single?float_window=true&amp;positioning_strategy=center_on_screen&amp;_doc_docfn=U2FsdGVkX1/mDzboZ2k1XL1nNglK4owkOqVT6eqZaHTVsCJmBXqqvX9qFEZRjcxXDmAR5FwfZGMj4yhnIFXvBidF3Q7LVennZUPx33i7JvI=&amp;_app_id=central_doc_viewer&amp;center_on_screen=true&amp;width=950&amp;height=800&amp;_dd2=%26f%3Dsld%26c%3Dtrue%26os%3D274354%26oe%3D274359" xr:uid="{BA5EDD09-B72B-4E22-9A7E-C1ABFB617520}"/>
    <hyperlink ref="B64" r:id="rId290" display="fdsup://factset/Doc Viewer Single?float_window=true&amp;positioning_strategy=center_on_screen&amp;_doc_docfn=U2FsdGVkX1/gA8gQ040ZrImubCQHDQ2obDvNNM9wSvSi3oIQfhyHBpMW2PMBYCL1uEUPeNoRBhath8RINtZmxD2oE64AjdkPwz29eXibDB0=&amp;_app_id=central_doc_viewer&amp;center_on_screen=true&amp;width=950&amp;height=800&amp;_dd2=%26f%3Dsld%26c%3Dtrue%26os%3D173693%26oe%3D173699" xr:uid="{CE0E2425-AED4-4343-AC53-7930A4B80EF6}"/>
    <hyperlink ref="C64" r:id="rId291" display="fdsup://factset/Doc Viewer Single?float_window=true&amp;positioning_strategy=center_on_screen&amp;_doc_docfn=U2FsdGVkX1+k2FEGO+xKxaZdX7TGUV5gM4YjRCbUdpYVlyXV3KWimYXWSKW9EjNvi1+0OfG7YoIH25cM99D+eEwhAo1ZQ2H3rwOd494p0hA=&amp;_app_id=central_doc_viewer&amp;center_on_screen=true&amp;width=950&amp;height=800&amp;_dd2=%26f%3Dsld%26c%3Dtrue%26os%3D177169%26oe%3D177174" xr:uid="{5CEB244A-AA24-4347-9624-010E4B399025}"/>
    <hyperlink ref="D64" r:id="rId292" display="fdsup://factset/Doc Viewer Single?float_window=true&amp;positioning_strategy=center_on_screen&amp;_doc_docfn=U2FsdGVkX1/xmrDb8KZ7MeAvK9tlUcktx9N3uca04UsGg730Hm09NeYhhWV3lOS4eyMuGE2jnJ5vD65xSMW+yarFaF5zsb5AIl4jAsc8YOA=&amp;_app_id=central_doc_viewer&amp;center_on_screen=true&amp;width=950&amp;height=800&amp;_dd2=%26f%3Dsld%26c%3Dtrue%26os%3D180579%26oe%3D180584" xr:uid="{F2367BBC-9599-4BBE-AEE9-C147909B45E2}"/>
    <hyperlink ref="E64" r:id="rId293" display="fdsup://factset/Doc Viewer Single?float_window=true&amp;positioning_strategy=center_on_screen&amp;_doc_docfn=U2FsdGVkX1/zPWnzXWZRuVKBCa/UXeupuNFd2KCGFk+mabn8hI9lpSs1CK1q1TOZD89ReHZnloYZQUN6DdKrtMW/dN20H+xAssrMtU8XqB8=&amp;_app_id=central_doc_viewer&amp;center_on_screen=true&amp;width=950&amp;height=800&amp;_dd2=%26f%3Dsld%26c%3Dtrue%26os%3D183695%26oe%3D183700" xr:uid="{EC006967-7A2B-4841-8EF2-07B1E30D7F2F}"/>
    <hyperlink ref="F64" r:id="rId294" display="fdsup://factset/Doc Viewer Single?float_window=true&amp;positioning_strategy=center_on_screen&amp;_doc_docfn=U2FsdGVkX1/AXCSXJlOzJiYdJ9+CEG+li0YjPmc5a22+wzaEbFJIhYSTJNYWWONDEHFjwdlQ2jyCgGeSPsZAuATs2eqgvO3dRMGVFFMRzmc=&amp;_app_id=central_doc_viewer&amp;center_on_screen=true&amp;width=950&amp;height=800&amp;_dd2=%26f%3Dsld%26c%3Dtrue%26os%3D260560%26oe%3D260565" xr:uid="{7C805400-DA39-420C-9B27-0A941D83A870}"/>
    <hyperlink ref="G64" r:id="rId295" display="fdsup://factset/Doc Viewer Single?float_window=true&amp;positioning_strategy=center_on_screen&amp;_doc_docfn=U2FsdGVkX1+naijOTVRlhWRaNVjbpnekklzlKNbvsM5m7SVCmluSjS+SU9f3bPu4I7tdnFWluqXgqinNDPIHpkzq0lMS6OivdroZtR0IDNw=&amp;_app_id=central_doc_viewer&amp;center_on_screen=true&amp;width=950&amp;height=800&amp;_dd2=%26f%3Dsld%26c%3Dtrue%26os%3D441421%26oe%3D441426" xr:uid="{71F4CB10-C107-4058-932D-45ECA83C8D97}"/>
    <hyperlink ref="H64" r:id="rId296" display="fdsup://factset/Doc Viewer Single?float_window=true&amp;positioning_strategy=center_on_screen&amp;_doc_docfn=U2FsdGVkX1+8HXo20NM2DjtNchjNM7N3Je6vl8psc9rBxhah0C+vBs5eNw7an1SG98ExBL+3IykMknrbM564+I6+pAVzyNjlWOrwp7EIeWs=&amp;_app_id=central_doc_viewer&amp;center_on_screen=true&amp;width=950&amp;height=800&amp;_dd2=%26f%3Dsld%26c%3Dtrue%26os%3D276780%26oe%3D276785" xr:uid="{295902AB-5DBC-4D71-AD53-90FA47220DDF}"/>
    <hyperlink ref="I64" r:id="rId297" display="fdsup://factset/Doc Viewer Single?float_window=true&amp;positioning_strategy=center_on_screen&amp;_doc_docfn=U2FsdGVkX1/9XrDtgnovrWWFNt7N2NXc3hafeZ3GlHRHwv7MzUGenGGR+ZgGzaKEYyzGmrlEFSKKiOTYOvhJ0E/8cwOh3RQkdVxO444A5SU=&amp;_app_id=central_doc_viewer&amp;center_on_screen=true&amp;width=950&amp;height=800&amp;_dd2=%26f%3Dsld%26c%3Dtrue%26os%3D261045%26oe%3D261051" xr:uid="{D646C552-156B-4277-9B07-9C38405CF082}"/>
    <hyperlink ref="J64" r:id="rId298" display="fdsup://factset/Doc Viewer Single?float_window=true&amp;positioning_strategy=center_on_screen&amp;_doc_docfn=U2FsdGVkX19skcAx42tOSY7yU3vQ6Dv8sk/QONj16wI8sGX9yp10y/JsUmd5JVsA73P5vdTZtisnO/TsiN08b2qoWTyblErPfopZXITYoFo=&amp;_app_id=central_doc_viewer&amp;center_on_screen=true&amp;width=950&amp;height=800&amp;_dd2=%26f%3Dsld%26c%3Dtrue%26os%3D262326%26oe%3D262331" xr:uid="{FB692643-6C8D-46A3-8C1C-9B779FB7F7ED}"/>
    <hyperlink ref="K64" r:id="rId299" display="fdsup://factset/Doc Viewer Single?float_window=true&amp;positioning_strategy=center_on_screen&amp;_doc_docfn=U2FsdGVkX1/S1/XPdQLWIgHEtARuoZZD7kJDlg1ebXdW6xTU6KG+cAqPlaQagoUoOH/nVAv49IKO8eNlSYqGYK82WgvMYNZZ64xi51FCz1Q=&amp;_app_id=central_doc_viewer&amp;center_on_screen=true&amp;width=950&amp;height=800&amp;_dd2=%26f%3Dsld%26c%3Dtrue%26os%3D275121%26oe%3D275127" xr:uid="{527B0A7E-3333-41B0-9FBA-4C71FE3D4DDB}"/>
    <hyperlink ref="B66" r:id="rId300" display="fdsup://factset/Doc Viewer Single?float_window=true&amp;positioning_strategy=center_on_screen&amp;_doc_docfn=U2FsdGVkX1+67sT+bLoiNBI4etlKitf6pTUDOCYa0qCp+Jets5gsf+/v9UmXY7q2yuiCwlT82hSTLN037YQf9d9qB2cUAV6ncchEXy6GY20=&amp;_app_id=central_doc_viewer&amp;center_on_screen=true&amp;width=950&amp;height=800&amp;_dd2=%26f%3Dsld%26c%3Dtrue%26os%3D177023%26oe%3D177028" xr:uid="{46BCCB7A-F53F-4D36-9794-4BA069DD1D2A}"/>
    <hyperlink ref="C66" r:id="rId301" display="fdsup://factset/Doc Viewer Single?float_window=true&amp;positioning_strategy=center_on_screen&amp;_doc_docfn=U2FsdGVkX1+bRgC1z+L1Wf90fwnS7nWDHCre/1xa8lqfKjJtB9mJSTvUB94Z54WxiHtB6p3N5WyNreXqJwYblh/shy+4CbX2c9vQpNyDJvg=&amp;_app_id=central_doc_viewer&amp;center_on_screen=true&amp;width=950&amp;height=800&amp;_dd2=%26f%3Dsld%26c%3Dtrue%26os%3D180506%26oe%3D180508" xr:uid="{152F1BBF-47BC-4361-BCD0-169FF925BB15}"/>
    <hyperlink ref="D66" r:id="rId302" display="fdsup://factset/Doc Viewer Single?float_window=true&amp;positioning_strategy=center_on_screen&amp;_doc_docfn=U2FsdGVkX1+HcV9z4Ub4kL7dV7v2c4gZmZqGhufWb0p6upamrgoZIJDqyBK1QYSHmFdB+AqhGWLoFTwnNwkP2XU/mrZetsdNx1yFYPGb+A0=&amp;_app_id=central_doc_viewer&amp;center_on_screen=true&amp;width=950&amp;height=800&amp;_dd2=%26f%3Dsld%26c%3Dtrue%26os%3D183916%26oe%3D183919" xr:uid="{52E550ED-DE72-4DD7-9357-C6643F33D3B0}"/>
    <hyperlink ref="E66" r:id="rId303" display="fdsup://factset/Doc Viewer Single?float_window=true&amp;positioning_strategy=center_on_screen&amp;_doc_docfn=U2FsdGVkX1/7UydzBtwrUAObYieqwAN/zslyKB0SXY8aId97swrH+ZNUyNAU9aUS5OVYzqbpAS6Q8qy0h8wyBWv2S0f/CrXY7SfkFK9MpY0=&amp;_app_id=central_doc_viewer&amp;center_on_screen=true&amp;width=950&amp;height=800&amp;_dd2=%26f%3Dsld%26c%3Dtrue%26os%3D187029%26oe%3D187033" xr:uid="{E27859FB-131A-4602-9BC1-6F1AE8663FD0}"/>
    <hyperlink ref="F66" r:id="rId304" display="fdsup://factset/Doc Viewer Single?float_window=true&amp;positioning_strategy=center_on_screen&amp;_doc_docfn=U2FsdGVkX1/gcvPopJpxENUR0cLNkDXeXsTl86fkJ2aAwoU+LlDtNGN2uy4c3YLFxIQGhCVDksKLzYAcGYrzDj+LJ4P93ZtwwPdbYTi+oaU=&amp;_app_id=central_doc_viewer&amp;center_on_screen=true&amp;width=950&amp;height=800&amp;_dd2=%26f%3Dsld%26c%3Dtrue%26os%3D263668%26oe%3D263672" xr:uid="{80B3C6BB-56E7-41FE-861E-CB03FBDCDF04}"/>
    <hyperlink ref="G66" r:id="rId305" display="fdsup://factset/Doc Viewer Single?float_window=true&amp;positioning_strategy=center_on_screen&amp;_doc_docfn=U2FsdGVkX19xSd8aB66jIuQbxvCkbwdnPX8Fgy9UZBKvaqxcu6ZShD6EAQ7iviuwBb4AwfRnOHZCmnj5VaooYGTOPGg3y2/ePQRNgu8DT8g=&amp;_app_id=central_doc_viewer&amp;center_on_screen=true&amp;width=950&amp;height=800&amp;_dd2=%26f%3Dsld%26c%3Dtrue%26os%3D444530%26oe%3D444535" xr:uid="{80E7F657-0DE3-4BCB-8E32-DA62027A450C}"/>
    <hyperlink ref="H66" r:id="rId306" display="fdsup://factset/Doc Viewer Single?float_window=true&amp;positioning_strategy=center_on_screen&amp;_doc_docfn=U2FsdGVkX1+FZufBWHeAdM+E0JZw3lzToOxGkB5Lky2ilTlGLupbTH85O2JeFuXeV8PxzAjfxzftJp4i/J40slXGQT0dkl3uRA9/h8sYiY4=&amp;_app_id=central_doc_viewer&amp;center_on_screen=true&amp;width=950&amp;height=800&amp;_dd2=%26f%3Dsld%26c%3Dtrue%26os%3D280678%26oe%3D280682" xr:uid="{893A3855-4719-4413-94E1-2148CBC69D38}"/>
    <hyperlink ref="I66" r:id="rId307" display="fdsup://factset/Doc Viewer Single?float_window=true&amp;positioning_strategy=center_on_screen&amp;_doc_docfn=U2FsdGVkX19d5mOA2eTIqMhooUN+kPLw92J9gJCQdX90jlsruYEW+on1tSl6FNWivUgsE5SPlLtrkf9I7uhaISJPfFCAkpNz351F7AgY68w=&amp;_app_id=central_doc_viewer&amp;center_on_screen=true&amp;width=950&amp;height=800&amp;_dd2=%26f%3Dsld%26c%3Dtrue%26os%3D264997%26oe%3D264999" xr:uid="{25AC47E8-EAA7-4912-9B27-66FA2FFED578}"/>
    <hyperlink ref="J66" r:id="rId308" display="fdsup://factset/Doc Viewer Single?float_window=true&amp;positioning_strategy=center_on_screen&amp;_doc_docfn=U2FsdGVkX19/7bPNe/Ly4Bi2N8kJqiQjCCe+UwmX4iR8/S6MDcvMb7vUDF7EG1vH+lF08e1We4f+E09+XvbmOM7JDPy/9K7h3iHzyDtOttc=&amp;_app_id=central_doc_viewer&amp;center_on_screen=true&amp;width=950&amp;height=800&amp;_dd2=%26f%3Dsld%26c%3Dtrue%26os%3D266295%26oe%3D266297" xr:uid="{507EC66A-604E-4833-ABA2-C600A764FAF6}"/>
    <hyperlink ref="K66" r:id="rId309" display="fdsup://factset/Doc Viewer Single?float_window=true&amp;positioning_strategy=center_on_screen&amp;_doc_docfn=U2FsdGVkX1+f+Pd998ylzvNf24Ngc07zT/qsRTXPxwJpVPSerK6qfBxwcUIxd2TdoTVodQRkylN4a2wq+59ltuFaJta5zl0Iw52mjBbC7vI=&amp;_app_id=central_doc_viewer&amp;center_on_screen=true&amp;width=950&amp;height=800&amp;_dd2=%26f%3Dsld%26c%3Dtrue%26os%3D279096%26oe%3D279100" xr:uid="{007162D7-6245-4662-BD35-706D0609489E}"/>
    <hyperlink ref="B67" r:id="rId310" display="fdsup://factset/Doc Viewer Single?float_window=true&amp;positioning_strategy=center_on_screen&amp;_doc_docfn=U2FsdGVkX1+YlVcll4eUsCtbXedFmTi9AlMfN6K/6aHQSzfqmXvh7+4Sv4+y4JBe5uizqPI0IImeeOKIXEJmiNpnlpBgZrwOV3P081wkt4k=&amp;_app_id=central_doc_viewer&amp;center_on_screen=true&amp;width=950&amp;height=800&amp;_dd2=%26f%3Dsld%26c%3Dtrue%26os%3D177874%26oe%3D177879" xr:uid="{11227DDA-0187-4E51-88A1-CF1586428A29}"/>
    <hyperlink ref="C67" r:id="rId311" display="fdsup://factset/Doc Viewer Single?float_window=true&amp;positioning_strategy=center_on_screen&amp;_doc_docfn=U2FsdGVkX18EQcA0YmuZnuc5QVVhQYALbecrhPukqzNmRPeED2pehXiwyB5084EaB7nwQaXTy3NW1KpAakEHbfG0DO7t0w/c+udt/IaTH9E=&amp;_app_id=central_doc_viewer&amp;center_on_screen=true&amp;width=950&amp;height=800&amp;_dd2=%26f%3Dsld%26c%3Dtrue%26os%3D181355%26oe%3D181360" xr:uid="{ECFA0807-0AF5-43C9-9604-8A35DDA7E0C3}"/>
    <hyperlink ref="D67" r:id="rId312" display="fdsup://factset/Doc Viewer Single?float_window=true&amp;positioning_strategy=center_on_screen&amp;_doc_docfn=U2FsdGVkX18EMACYr9yzX2yTYjiR4UuS9fUPkLbc3+hdVf9aojNnJ0ufVLEH9p/ZuMgu7J+ErN6rfMFHUgB3Djqxm3T58SX3AzhRRL4ls2U=&amp;_app_id=central_doc_viewer&amp;center_on_screen=true&amp;width=950&amp;height=800&amp;_dd2=%26f%3Dsld%26c%3Dtrue%26os%3D184767%26oe%3D184772" xr:uid="{70544122-21BB-421D-901C-C1A36FB9B5DA}"/>
    <hyperlink ref="E67" r:id="rId313" display="fdsup://factset/Doc Viewer Single?float_window=true&amp;positioning_strategy=center_on_screen&amp;_doc_docfn=U2FsdGVkX18FImV72jvscSC1EpB/C4vrpphmtULDTpr8GaC8vtUVWebCd5cDVfj5rXsKJ/EWp5bHQR7qQX43LvcnM1hB1bMsqddedyS4VQA=&amp;_app_id=central_doc_viewer&amp;center_on_screen=true&amp;width=950&amp;height=800&amp;_dd2=%26f%3Dsld%26c%3Dtrue%26os%3D187877%26oe%3D187884" xr:uid="{81BE2C7B-5C79-4A83-8615-2D0359443968}"/>
    <hyperlink ref="F67" r:id="rId314" display="fdsup://factset/Doc Viewer Single?float_window=true&amp;positioning_strategy=center_on_screen&amp;_doc_docfn=U2FsdGVkX1/9Kx4DOzcBa1L+I5l8Jl9tYvn5s5H6e447SYQR4yWTYggdZxlZR7GZXnizEY8UlcyEriTzvH1zDwRETsH9/GlvRupaFPL7778=&amp;_app_id=central_doc_viewer&amp;center_on_screen=true&amp;width=950&amp;height=800&amp;_dd2=%26f%3Dsld%26c%3Dtrue%26os%3D264461%26oe%3D264464" xr:uid="{13FE5735-2784-427A-ABDD-38A42FB869B0}"/>
    <hyperlink ref="G67" r:id="rId315" display="fdsup://factset/Doc Viewer Single?float_window=true&amp;positioning_strategy=center_on_screen&amp;_doc_docfn=U2FsdGVkX19wSHWn1fgi6ZeXzQs8r2BOs0DgzgdxZSx4X9868tmbV3TzvpWXDRYsETC0IWUrsVLWygpCuALtUZXFyX0jX3jk/dgs7XA7cxs=&amp;_app_id=central_doc_viewer&amp;center_on_screen=true&amp;width=950&amp;height=800&amp;_dd2=%26f%3Dsld%26c%3Dtrue%26os%3D445393%26oe%3D445398" xr:uid="{22F82316-88FE-4836-9789-86730DC9B0CD}"/>
    <hyperlink ref="H67" r:id="rId316" display="fdsup://factset/Doc Viewer Single?float_window=true&amp;positioning_strategy=center_on_screen&amp;_doc_docfn=U2FsdGVkX18nuVMC6PLfPTSjHpdvMLIiTCkE2FSCYnSFDQ6ijgswZ3TYoNxrmPoWziM5apecURCWLEDXH0rwg9OUWeRlMJg5UB5wX2yFRRQ=&amp;_app_id=central_doc_viewer&amp;center_on_screen=true&amp;width=950&amp;height=800&amp;_dd2=%26f%3Dsld%26c%3Dtrue%26os%3D281531%26oe%3D281536" xr:uid="{D123F590-185B-47A8-BA0D-F016532FC147}"/>
    <hyperlink ref="I67" r:id="rId317" display="fdsup://factset/Doc Viewer Single?float_window=true&amp;positioning_strategy=center_on_screen&amp;_doc_docfn=U2FsdGVkX18PdOvyUzdxwL8VYgp4oMGzUZZk4ShHwZQqqMbt9GWDuRgJ1uGEqnKmASTPxCGwH1taL31uxARSZOb0R//pZSD/HKafQLsFcsU=&amp;_app_id=central_doc_viewer&amp;center_on_screen=true&amp;width=950&amp;height=800&amp;_dd2=%26f%3Dsld%26c%3Dtrue%26os%3D265926%26oe%3D265931" xr:uid="{9B3D46AB-F6E1-41DC-A4A0-06D8C1CCFD40}"/>
    <hyperlink ref="J67" r:id="rId318" display="fdsup://factset/Doc Viewer Single?float_window=true&amp;positioning_strategy=center_on_screen&amp;_doc_docfn=U2FsdGVkX19dkat4of8WD2yIpTAVyzZlMzvZgXAajzhEpXDN7Y9+DXaMigz+o1LR19TxNEdzMi0Q8XiOn+rRre2+c+iXM81odiXqRlmA1og=&amp;_app_id=central_doc_viewer&amp;center_on_screen=true&amp;width=950&amp;height=800&amp;_dd2=%26f%3Dsld%26c%3Dtrue%26os%3D267220%26oe%3D267225" xr:uid="{EF32A0E0-4F9F-4567-A6F4-8D29DB4F7D1F}"/>
    <hyperlink ref="K67" r:id="rId319" display="fdsup://factset/Doc Viewer Single?float_window=true&amp;positioning_strategy=center_on_screen&amp;_doc_docfn=U2FsdGVkX18vNfH2H70EpZnkaAOUM4DDIyuLg1hIfk5n+VRPysug8/cwt3Pp4/3gRJ4afTN5UjiH/XcGnaMZHZK1i7qxDIi4QLXje3H/FZU=&amp;_app_id=central_doc_viewer&amp;center_on_screen=true&amp;width=950&amp;height=800&amp;_dd2=%26f%3Dsld%26c%3Dtrue%26os%3D280112%26oe%3D280115" xr:uid="{3DACDFDA-F9C8-423C-81D1-E7AF166B07F5}"/>
    <hyperlink ref="K68" r:id="rId320" display="fdsup://factset/Doc Viewer Single?float_window=true&amp;positioning_strategy=center_on_screen&amp;_doc_docfn=U2FsdGVkX1+jD4rqhYMuAXo9VoKxlXwn0neqaNDj8rH3+lmFevnLZT+dku/TrIUiy2ejkQkqJOflldT7WFDBY8H7fX01TD2KB8ka11CPgYY=&amp;_app_id=central_doc_viewer&amp;center_on_screen=true&amp;width=950&amp;height=800&amp;_dd2=%26f%3Dsld%26c%3Dtrue%26os%3D281114%26oe%3D281119" xr:uid="{281746BE-D279-4280-9C7A-030C5BC05346}"/>
    <hyperlink ref="B69" r:id="rId321" display="fdsup://factset/Doc Viewer Single?float_window=true&amp;positioning_strategy=center_on_screen&amp;_doc_docfn=U2FsdGVkX1/Gk3BszzQ3OlYT5IAUdUkmVCMz0ur1H6RjVDb/QzvqYEXjZVu9PvGeEbFvod/zbJtTLyEFaJ2CdXiSuw6aW/eLxXkVZePlDQo=&amp;_app_id=central_doc_viewer&amp;center_on_screen=true&amp;width=950&amp;height=800&amp;_dd2=%26f%3Dsld%26c%3Dtrue%26os%3D177874%26oe%3D177879" xr:uid="{18F6F196-E5C4-4DCF-B8CD-7F9AEB7F4714}"/>
    <hyperlink ref="C69" r:id="rId322" display="fdsup://factset/Doc Viewer Single?float_window=true&amp;positioning_strategy=center_on_screen&amp;_doc_docfn=U2FsdGVkX1+kLzVALA1R7dGzTYklxL7dYfPeTBoUfw9O8AgdaqacFbvLLLsMwHlrO+H4LRx3DrwE6rl2y5ECPYBU39LGpsyCsIwlwjETkvc=&amp;_app_id=central_doc_viewer&amp;center_on_screen=true&amp;width=950&amp;height=800&amp;_dd2=%26f%3Dsld%26c%3Dtrue%26os%3D181355%26oe%3D181360" xr:uid="{B7DE6CA0-F042-449B-BBF7-F15CCA5A2D3C}"/>
    <hyperlink ref="D69" r:id="rId323" display="fdsup://factset/Doc Viewer Single?float_window=true&amp;positioning_strategy=center_on_screen&amp;_doc_docfn=U2FsdGVkX1+r+UIdTdh58q3x2/idp51t5klQQjYWgRDKc0nDraMY+lmqqnzZP9TedIavvQ6u/Vm2rajnP91OdcnEwDnEwTJ3LowoOp/xKCM=&amp;_app_id=central_doc_viewer&amp;center_on_screen=true&amp;width=950&amp;height=800&amp;_dd2=%26f%3Dsld%26c%3Dtrue%26os%3D184767%26oe%3D184772" xr:uid="{7BE2973E-A316-4C2D-8CB3-52F8A2FA6D37}"/>
    <hyperlink ref="E69" r:id="rId324" display="fdsup://factset/Doc Viewer Single?float_window=true&amp;positioning_strategy=center_on_screen&amp;_doc_docfn=U2FsdGVkX1+m4gduTvkGbOJqVeQZ5esUjW9Vrhy+pZ0XADYe99b3QPCI5131iVnUWKVVNXSbwRiVlxKcVQu3meuwAH+VDLeHUeU2mFxqXUs=&amp;_app_id=central_doc_viewer&amp;center_on_screen=true&amp;width=950&amp;height=800&amp;_dd2=%26f%3Dsld%26c%3Dtrue%26os%3D187877%26oe%3D187884" xr:uid="{E5BA6D1E-FAE9-47DD-B4E3-302007FA1437}"/>
    <hyperlink ref="F69" r:id="rId325" display="fdsup://factset/Doc Viewer Single?float_window=true&amp;positioning_strategy=center_on_screen&amp;_doc_docfn=U2FsdGVkX1+QBePZBrtqAKbtuJ7jsiZx+ok3uu9F4vbft2G2HYobxtQ3dLluVur5eWp5+JD0WCALfgsS5AzKnG+ZsGjT4yAvfoiG/YrFk/k=&amp;_app_id=central_doc_viewer&amp;center_on_screen=true&amp;width=950&amp;height=800&amp;_dd2=%26f%3Dsld%26c%3Dtrue%26os%3D264461%26oe%3D264464" xr:uid="{496F3BED-C595-48F0-A43A-0DA2870C9DE2}"/>
    <hyperlink ref="G69" r:id="rId326" display="fdsup://factset/Doc Viewer Single?float_window=true&amp;positioning_strategy=center_on_screen&amp;_doc_docfn=U2FsdGVkX19DXImkv6FK6/SBlV8Vh4SxJ1Kmu4wG3DBlxqWF1cigfECro9wr+CdUFl4bZoN4hjaniYDM4zz6YsJSeoIDmlRy93wns6kafHI=&amp;_app_id=central_doc_viewer&amp;center_on_screen=true&amp;width=950&amp;height=800&amp;_dd2=%26f%3Dsld%26c%3Dtrue%26os%3D445393%26oe%3D445398" xr:uid="{4957332F-0785-4CEC-815D-DDFE21C6CC85}"/>
    <hyperlink ref="H69" r:id="rId327" display="fdsup://factset/Doc Viewer Single?float_window=true&amp;positioning_strategy=center_on_screen&amp;_doc_docfn=U2FsdGVkX188YeBKAGc/xMUdvbgIy7+jF6aPByOd1XS7p7R1PweLWwAOkdLCfGLlV245/CJclNbLRq5poM0IhShhIDiyj8WmxK1BpAPEiSQ=&amp;_app_id=central_doc_viewer&amp;center_on_screen=true&amp;width=950&amp;height=800&amp;_dd2=%26f%3Dsld%26c%3Dtrue%26os%3D281531%26oe%3D281536" xr:uid="{5D34AA1D-16D6-4B2E-94A5-8C1345DB8B50}"/>
    <hyperlink ref="I69" r:id="rId328" display="fdsup://factset/Doc Viewer Single?float_window=true&amp;positioning_strategy=center_on_screen&amp;_doc_docfn=U2FsdGVkX1+U6eGDQfcI1gFidYV2RXExxGspLs8Zx/FmCNUkhwa4rdwh5sl9uBHaOXxVguhSiSMyxjDsxZoNiFYySh4e2dibLMjkdHRf0SU=&amp;_app_id=central_doc_viewer&amp;center_on_screen=true&amp;width=950&amp;height=800&amp;_dd2=%26f%3Dsld%26c%3Dtrue%26os%3D265926%26oe%3D265931" xr:uid="{1638A5C4-DF0A-4460-BB63-0BFFFC006744}"/>
    <hyperlink ref="J69" r:id="rId329" display="fdsup://factset/Doc Viewer Single?float_window=true&amp;positioning_strategy=center_on_screen&amp;_doc_docfn=U2FsdGVkX18ZkJUJq9ivxsKdFHJlIz96kCQPif5JXJxioXrMx3BBz97/7w6F5o9/bg/VZ2zoBUf+anHNrcOdD3laOOp7i6sU0edo5LHyE4k=&amp;_app_id=central_doc_viewer&amp;center_on_screen=true&amp;width=950&amp;height=800&amp;_dd2=%26f%3Dsld%26c%3Dtrue%26os%3D267220%26oe%3D267225" xr:uid="{4144B4FB-AEDC-4021-94DB-9DC68EB8088D}"/>
    <hyperlink ref="K69" r:id="rId330" display="fdsup://factset/Doc Viewer Single?float_window=true&amp;positioning_strategy=center_on_screen&amp;_doc_docfn=U2FsdGVkX19C7Guru3qsd1Wc4UhzjrunF6Ja0cdihbtGFoOXmqsevgevqMl+89CKDiQyFymk8nR9/j6OFmSDW+ChoFObdhuOSzxUybj/urM=&amp;_app_id=central_doc_viewer&amp;center_on_screen=true&amp;width=950&amp;height=800&amp;_dd2=%26f%3Dsld%26c%3Dtrue%26os%3D281926%26oe%3D281931" xr:uid="{A6A8BC45-F65E-45C9-9549-A122CC4DCCDA}"/>
    <hyperlink ref="B70" r:id="rId331" display="fdsup://factset/Doc Viewer Single?float_window=true&amp;positioning_strategy=center_on_screen&amp;_doc_docfn=U2FsdGVkX184AY+zSGsFTMktCDPz0Ndipz9Lu5d6sm9/d7XHmmy9+x8gvjeQDOlFiIq462USOSf9oauBi2rTzPQMYjR/QVwBEACGClAOeBk=&amp;_app_id=central_doc_viewer&amp;center_on_screen=true&amp;width=950&amp;height=800&amp;_dd2=%26f%3Dsld%26c%3Dtrue%26os%3D178691%26oe%3D178696" xr:uid="{63FC9304-C9D1-4112-853A-2587981B686E}"/>
    <hyperlink ref="C70" r:id="rId332" display="fdsup://factset/Doc Viewer Single?float_window=true&amp;positioning_strategy=center_on_screen&amp;_doc_docfn=U2FsdGVkX1+e/xAFjznHcywTOl0y+uBpH01UDq7/U+TyrV/Yj9nNIbutqKlzbdX7tAtajY7u7ADzqW0I2ZKuFD36z7x+5wsCBLC+XHvfskg=&amp;_app_id=central_doc_viewer&amp;center_on_screen=true&amp;width=950&amp;height=800&amp;_dd2=%26f%3Dsld%26c%3Dtrue%26os%3D182171%26oe%3D182177" xr:uid="{6A900A75-829B-4039-B736-8052C2EEC972}"/>
    <hyperlink ref="D70" r:id="rId333" display="fdsup://factset/Doc Viewer Single?float_window=true&amp;positioning_strategy=center_on_screen&amp;_doc_docfn=U2FsdGVkX18XS2sJIg9P9Ldm+C5hPS4W9iLS1cycAUrE/z+2OOf48qTpdAJkmBBW7ZiEg4yQ+IPNvXEhYNP+GyoZhGM1TQt/byM5o+prgwM=&amp;_app_id=central_doc_viewer&amp;center_on_screen=true&amp;width=950&amp;height=800&amp;_dd2=%26f%3Dsld%26c%3Dtrue%26os%3D185585%26oe%3D185591" xr:uid="{C7C16EC4-B175-4F0D-BD92-B8CCC1790F27}"/>
    <hyperlink ref="E70" r:id="rId334" display="fdsup://factset/Doc Viewer Single?float_window=true&amp;positioning_strategy=center_on_screen&amp;_doc_docfn=U2FsdGVkX19FQ0+bo//6YSoiWPeWj8yEqK6J3/EMj4IigcakwAawwnCQRfmCMtDNwp35dRv3N9HTUutM0x6V/gbyhGBKIlBWNrGCi+8Ow2Y=&amp;_app_id=central_doc_viewer&amp;center_on_screen=true&amp;width=950&amp;height=800&amp;_dd2=%26f%3Dsld%26c%3Dtrue%26os%3D188697%26oe%3D188703" xr:uid="{C87F5EF1-55C7-4912-8CF7-2EE6B0AFF6CE}"/>
    <hyperlink ref="F70" r:id="rId335" display="fdsup://factset/Doc Viewer Single?float_window=true&amp;positioning_strategy=center_on_screen&amp;_doc_docfn=U2FsdGVkX1/EYhsxBztWLfeWI1nMZsvzqgfWhFx0KoGugtifD6BekwOLsNMNpysDzQIv34kM2M5qZU0EFQdEyxo/zeTPJ+SGgXjUnX7g3n4=&amp;_app_id=central_doc_viewer&amp;center_on_screen=true&amp;width=950&amp;height=800&amp;_dd2=%26f%3Dsld%26c%3Dtrue%26os%3D1734636%26oe%3D1734642" xr:uid="{ABCCBE07-4415-4014-B4E1-22111A16B838}"/>
    <hyperlink ref="G70" r:id="rId336" display="fdsup://factset/Doc Viewer Single?float_window=true&amp;positioning_strategy=center_on_screen&amp;_doc_docfn=U2FsdGVkX19kN26I3hYLnr0aDVZMoGf/9She1JmNYFcIsw2kV6oGIjfRKeJTEYVAbfJBV8POcLf2sajZO1FTajeyOLuGW+BCZ9FYaUmmpBk=&amp;_app_id=central_doc_viewer&amp;center_on_screen=true&amp;width=950&amp;height=800&amp;_dd2=%26f%3Dsld%26c%3Dtrue%26os%3D1509087%26oe%3D1509093" xr:uid="{237E41E2-3DF4-4EFC-9F27-E2F00460B402}"/>
    <hyperlink ref="H70" r:id="rId337" display="fdsup://factset/Doc Viewer Single?float_window=true&amp;positioning_strategy=center_on_screen&amp;_doc_docfn=U2FsdGVkX1/JCut+GKG4UWtXA/CSd9Z5bHgX1QOko4qfYd6N152Xhg+WDZqu/IR0YUj6aoy3Y773vFiGllVUeao+kx2C9TJ9nfjfq+tNkJ0=&amp;_app_id=central_doc_viewer&amp;center_on_screen=true&amp;width=950&amp;height=800&amp;_dd2=%26f%3Dsld%26c%3Dtrue%26os%3D1534759%26oe%3D1534765" xr:uid="{31FB3C31-0051-40C3-86D0-0DDA9526E3E5}"/>
    <hyperlink ref="I70" r:id="rId338" display="fdsup://factset/Doc Viewer Single?float_window=true&amp;positioning_strategy=center_on_screen&amp;_doc_docfn=U2FsdGVkX19MD1PKBKAY1OLzVSsJ1Km4sTrvWHnSTs4dGjUO37an0TSJwURUJZPwEFk3dR1HOmbjAxTh3jACfkYWqA9YcpWNJKYeFOSRrRw=&amp;_app_id=central_doc_viewer&amp;center_on_screen=true&amp;width=950&amp;height=800&amp;_dd2=%26f%3Dsld%26c%3Dtrue%26os%3D1460920%26oe%3D1460926" xr:uid="{6A551735-9614-4A0C-AAB1-479B88C0B905}"/>
    <hyperlink ref="J70" r:id="rId339" display="fdsup://factset/Doc Viewer Single?float_window=true&amp;positioning_strategy=center_on_screen&amp;_doc_docfn=U2FsdGVkX19/brbKt9JfNCcBp9VyKbthTpYCsADZqWlzq7LLEcj8P3ukBSL0VVD6+mSNsp0tctPu4HXzUsfsiofUm71EJTiidGww597vWQw=&amp;_app_id=central_doc_viewer&amp;center_on_screen=true&amp;width=950&amp;height=800&amp;_dd2=%26f%3Dsld%26c%3Dtrue%26os%3D1243764%26oe%3D1243770" xr:uid="{A3538786-CF4E-4A38-92FC-41429199C7F3}"/>
    <hyperlink ref="K70" r:id="rId340" display="fdsup://factset/Doc Viewer Single?float_window=true&amp;positioning_strategy=center_on_screen&amp;_doc_docfn=U2FsdGVkX1/ZbiAh8VYNkHtdNlFlzTB7mqnER4kthzDWrZhiocAMM1gZAWBSxO/rF8Nv2cHJht0k75u05TR9Bx1M13svmW86I9plSu9a+nE=&amp;_app_id=central_doc_viewer&amp;center_on_screen=true&amp;width=950&amp;height=800&amp;_dd2=%26f%3Dsld%26c%3Dtrue%26os%3D1283144%26oe%3D1283150" xr:uid="{460CE35F-B690-499C-8D16-D87625F84819}"/>
    <hyperlink ref="B71" r:id="rId341" display="fdsup://factset/Doc Viewer Single?float_window=true&amp;positioning_strategy=center_on_screen&amp;_doc_docfn=U2FsdGVkX1/TkrtL/KPANZ1xzRi7yl7F42ecQEmpP6uwpNmWm7tbJnYTyWOOB17+b1oQeok6md35YfFTNxQScT8MDygeuQaP14qp1+nYS50=&amp;_app_id=central_doc_viewer&amp;center_on_screen=true&amp;width=950&amp;height=800&amp;_dd2=%26f%3Dsld%26c%3Dtrue%26os%3D179428%26oe%3D179434" xr:uid="{09B5233B-FCDD-4779-BDCC-E2C8CFA40ED4}"/>
    <hyperlink ref="C71" r:id="rId342" display="fdsup://factset/Doc Viewer Single?float_window=true&amp;positioning_strategy=center_on_screen&amp;_doc_docfn=U2FsdGVkX18DVbb3+ahP+e2ZpGPS/guDNQX90yb4kzkhp8ehhTaZ54bZtzlXqnPM/R1vGHFIQ+8PYqCEdng9bAklIag53vC0/iE0+IGP6b4=&amp;_app_id=central_doc_viewer&amp;center_on_screen=true&amp;width=950&amp;height=800&amp;_dd2=%26f%3Dsld%26c%3Dtrue%26os%3D182909%26oe%3D182915" xr:uid="{FBB28B1A-DA5C-4FFD-B224-CCC71EDE1E65}"/>
    <hyperlink ref="D71" r:id="rId343" display="fdsup://factset/Doc Viewer Single?float_window=true&amp;positioning_strategy=center_on_screen&amp;_doc_docfn=U2FsdGVkX1/+9Ucuk4qp4RSnYR918iFm+58Q79oAHMFdn56dJwirNcHQ6er/hj/zrYNOTVvfNk4KwlaR8lbx8Tn6o+7oTA2Hht9y5xcUviU=&amp;_app_id=central_doc_viewer&amp;center_on_screen=true&amp;width=950&amp;height=800&amp;_dd2=%26f%3Dsld%26c%3Dtrue%26os%3D186325%26oe%3D186331" xr:uid="{13D2DD40-40E8-4DBE-B04F-5AD6F0310273}"/>
    <hyperlink ref="E71" r:id="rId344" display="fdsup://factset/Doc Viewer Single?float_window=true&amp;positioning_strategy=center_on_screen&amp;_doc_docfn=U2FsdGVkX190ynWETn42GmFdllYvkCjoLRfPY+xVjnBj+3GmsMJBHyBmL+GJFs7tyvI1pYrcPZ8wxBhO3nECDSiw5YGUXWfVD+tJ6WTG5Jw=&amp;_app_id=central_doc_viewer&amp;center_on_screen=true&amp;width=950&amp;height=800&amp;_dd2=%26f%3Dsld%26c%3Dtrue%26os%3D189439%26oe%3D189445" xr:uid="{301CC037-3B20-45F0-9055-7346540C24C6}"/>
    <hyperlink ref="F71" r:id="rId345" display="fdsup://factset/Doc Viewer Single?float_window=true&amp;positioning_strategy=center_on_screen&amp;_doc_docfn=U2FsdGVkX19hW7hqhmEiKh/CHe97xd5SZ8L+dt1CAeg0+3sBiJVG123k24zRnysgKVtFJ2z+N9iXuQswIqWSiGWAcqgrKP8uifOZDjOtk48=&amp;_app_id=central_doc_viewer&amp;center_on_screen=true&amp;width=950&amp;height=800&amp;_dd2=%26f%3Dsld%26c%3Dtrue%26os%3D265234%26oe%3D265240" xr:uid="{42F1B441-FA9E-4875-9F01-8C742294CAF2}"/>
    <hyperlink ref="G71" r:id="rId346" display="fdsup://factset/Doc Viewer Single?float_window=true&amp;positioning_strategy=center_on_screen&amp;_doc_docfn=U2FsdGVkX19omPYFoacP70dUtU1h2sCzrmn0Mg4TW4G7GR6UCJ6pf4Uy+mSDIWtvk0uDp7V2SptfhPlz4y2IGcVIfzgNkeg5fYwBuYu6qcs=&amp;_app_id=central_doc_viewer&amp;center_on_screen=true&amp;width=950&amp;height=800&amp;_dd2=%26f%3Dsld%26c%3Dtrue%26os%3D446297%26oe%3D446303" xr:uid="{322DB029-D231-48D5-BEC4-B30C0BA13F9D}"/>
    <hyperlink ref="H71" r:id="rId347" display="fdsup://factset/Doc Viewer Single?float_window=true&amp;positioning_strategy=center_on_screen&amp;_doc_docfn=U2FsdGVkX19cIsUiJMzACTtf/3gAel8QRtLyK/OlWiIzyk+IR8ZSbKRihfNvBixDl6+yRWIg1TSDzqXPIgFbttDyVQgk+kqOCuJouHiaGA8=&amp;_app_id=central_doc_viewer&amp;center_on_screen=true&amp;width=950&amp;height=800&amp;_dd2=%26f%3Dsld%26c%3Dtrue%26os%3D282433%26oe%3D282439" xr:uid="{6A4489F0-D9E2-4C30-AB7B-563B320F1D53}"/>
    <hyperlink ref="I71" r:id="rId348" display="fdsup://factset/Doc Viewer Single?float_window=true&amp;positioning_strategy=center_on_screen&amp;_doc_docfn=U2FsdGVkX19f+OntRb8+BiJFrdkqFhF0DaXn7uU8yEePXhXe4v4SRW/hNOkIIaKU2wjCrI7SA0e12VAnC9xCBj+D8SV5eCmJlDBxnG2OeMM=&amp;_app_id=central_doc_viewer&amp;center_on_screen=true&amp;width=950&amp;height=800&amp;_dd2=%26f%3Dsld%26c%3Dtrue%26os%3D266855%26oe%3D266861" xr:uid="{F14D54EB-BE39-4365-817F-12F278569DCF}"/>
    <hyperlink ref="J71" r:id="rId349" display="fdsup://factset/Doc Viewer Single?float_window=true&amp;positioning_strategy=center_on_screen&amp;_doc_docfn=U2FsdGVkX194DrM/nYmI8kfptI8Tpbi7oPyrFZMkQ+5pyFMfKf1pD0dffagbcnrYLSU9oqtZmvU8TM9Z09JjhrNFP0rjHxEUk/jQ+wAP9wY=&amp;_app_id=central_doc_viewer&amp;center_on_screen=true&amp;width=950&amp;height=800&amp;_dd2=%26f%3Dsld%26c%3Dtrue%26os%3D268149%26oe%3D268155" xr:uid="{7E51DE71-7625-497B-B8B4-3F0CE7F45AA5}"/>
    <hyperlink ref="K71" r:id="rId350" display="fdsup://factset/Doc Viewer Single?float_window=true&amp;positioning_strategy=center_on_screen&amp;_doc_docfn=U2FsdGVkX19oCIy1PkSNpG4QI0BEDhWhzBX1RPqFSU3slUNDdxeTI7U5/s4d5c2RUbJhBE5m1a/5k5I7JgeQ+0VS2O+f3+xzbA8XWNnvsZk=&amp;_app_id=central_doc_viewer&amp;center_on_screen=true&amp;width=950&amp;height=800&amp;_dd2=%26f%3Dsld%26c%3Dtrue%26os%3D282855%26oe%3D282861" xr:uid="{4B676F09-ED15-4E5E-8622-FC1442A4F67E}"/>
    <hyperlink ref="B73" r:id="rId351" display="fdsup://factset/Doc Viewer Single?float_window=true&amp;positioning_strategy=center_on_screen&amp;_doc_docfn=U2FsdGVkX1/71eEvBCZB8wAuInVLcOGKCb/u46u3vaG3jMvdpiXR42bQe4t4SwhJ0aBRivQcyfmml4N1er20YqROQ8u1ZHJ1eaUSbMgZZ+g=&amp;_app_id=central_doc_viewer&amp;center_on_screen=true&amp;width=950&amp;height=800&amp;_dd2=%26f%3Dsld%26c%3Dtrue%26os%3D180530%26oe%3D180533" xr:uid="{9343E84D-56A1-4A42-8F98-45A9A9C68B03}"/>
    <hyperlink ref="C73" r:id="rId352" display="fdsup://factset/Doc Viewer Single?float_window=true&amp;positioning_strategy=center_on_screen&amp;_doc_docfn=U2FsdGVkX1/9tC+vc6Bso4f507JL7SpkF9C39n/GWA+KvoWkV26ntDnN9arEd16TvCALVhiZY0z8TGWP8SZ01ya+3zStvwuKOD4mC8V/sd8=&amp;_app_id=central_doc_viewer&amp;center_on_screen=true&amp;width=950&amp;height=800&amp;_dd2=%26f%3Dsld%26c%3Dtrue%26os%3D184014%26oe%3D184019" xr:uid="{F63C21AD-4BAD-4D1E-966A-C611495D0308}"/>
    <hyperlink ref="D73" r:id="rId353" display="fdsup://factset/Doc Viewer Single?float_window=true&amp;positioning_strategy=center_on_screen&amp;_doc_docfn=U2FsdGVkX1937B4RaWRb0wSPDonTNv2u7ZLxo4lhjbC6XVV8O5V/8/8dISIfv7NROIABc7Zz/OBOo0YH266VP4w35hUr7Zbbj9fr/gzkj+A=&amp;_app_id=central_doc_viewer&amp;center_on_screen=true&amp;width=950&amp;height=800&amp;_dd2=%26f%3Dsld%26c%3Dtrue%26os%3D187432%26oe%3D187437" xr:uid="{EAEB2091-1F51-4034-A593-A077D54BBB51}"/>
    <hyperlink ref="E73" r:id="rId354" display="fdsup://factset/Doc Viewer Single?float_window=true&amp;positioning_strategy=center_on_screen&amp;_doc_docfn=U2FsdGVkX19f3Cv9jkiONLedmhvK/wI9W/Ba+MEF9+cIfBNn5/UBaAjbAOQRno/hJsrCw5zWiUv/aznR/SK/EgoMAFdpc/vhPBoQU6/RKYY=&amp;_app_id=central_doc_viewer&amp;center_on_screen=true&amp;width=950&amp;height=800&amp;_dd2=%26f%3Dsld%26c%3Dtrue%26os%3D190546%26oe%3D190551" xr:uid="{92C005A5-621D-4F0F-9B7C-4B255EF8D54C}"/>
    <hyperlink ref="F73" r:id="rId355" display="fdsup://factset/Doc Viewer Single?float_window=true&amp;positioning_strategy=center_on_screen&amp;_doc_docfn=U2FsdGVkX19EmxEeJU6GqaGCNJcDo0bapOcJ7+LBIklH52G1ajWwKNhlt5Wh6UUguOe4bELJV18Gqu8aMAQuPxixiaMZ/uUqEBakLe1JJSM=&amp;_app_id=central_doc_viewer&amp;center_on_screen=true&amp;width=950&amp;height=800&amp;_dd2=%26f%3Dsld%26c%3Dtrue%26os%3D266279%26oe%3D266284" xr:uid="{A72F7D49-BCFF-4B80-BB96-2BF4C09B0888}"/>
    <hyperlink ref="G73" r:id="rId356" display="fdsup://factset/Doc Viewer Single?float_window=true&amp;positioning_strategy=center_on_screen&amp;_doc_docfn=U2FsdGVkX1/Zbd+4Af2jJRHBG8sj0JrXs7gr10R/0HLQcuyrlTG/beYIf8y0uwEyugJ/CvH/HhmCU5DAVCBFf9UpCT5/EHJk5FACNZ999CI=&amp;_app_id=central_doc_viewer&amp;center_on_screen=true&amp;width=950&amp;height=800&amp;_dd2=%26f%3Dsld%26c%3Dtrue%26os%3D447342%26oe%3D447347" xr:uid="{05752D34-C445-462B-A0C2-F37E9727A947}"/>
    <hyperlink ref="H73" r:id="rId357" display="fdsup://factset/Doc Viewer Single?float_window=true&amp;positioning_strategy=center_on_screen&amp;_doc_docfn=U2FsdGVkX19vvVwp3ulqULPwZUBqMhTPVzLRDCUVy6WL3x9MN7c5eI39wt9ck2HTyNqndflHoUrPcbD3wIrzx0xMQi4AVPENx8FG6pp/33s=&amp;_app_id=central_doc_viewer&amp;center_on_screen=true&amp;width=950&amp;height=800&amp;_dd2=%26f%3Dsld%26c%3Dtrue%26os%3D283478%26oe%3D283483" xr:uid="{BD1EA45A-20C5-4D0E-86FE-E33403DE6375}"/>
    <hyperlink ref="I73" r:id="rId358" display="fdsup://factset/Doc Viewer Single?float_window=true&amp;positioning_strategy=center_on_screen&amp;_doc_docfn=U2FsdGVkX19QRZsu3vh0J5in7Bb5VOX5P7E+yl4pil0kyjWY7yaYV4hicAMCVgM97qwj0csWa8hG063z9WReucfelwsqu38l7fMikiJ5BVY=&amp;_app_id=central_doc_viewer&amp;center_on_screen=true&amp;width=950&amp;height=800&amp;_dd2=%26f%3Dsld%26c%3Dtrue%26os%3D267948%26oe%3D267953" xr:uid="{9664AED8-8282-4458-8CAC-A88E29DCE0BA}"/>
    <hyperlink ref="J73" r:id="rId359" display="fdsup://factset/Doc Viewer Single?float_window=true&amp;positioning_strategy=center_on_screen&amp;_doc_docfn=U2FsdGVkX1/XfKnBXJPW9Yn1dOukb4+34wanTkDP4kBa2dja9g4HwWHgGaXVK7ZnUef64P7/6TKQAu98NH1Q15qYK2V673RUslTevIs35rQ=&amp;_app_id=central_doc_viewer&amp;center_on_screen=true&amp;width=950&amp;height=800&amp;_dd2=%26f%3Dsld%26c%3Dtrue%26os%3D269242%26oe%3D269247" xr:uid="{28D2123D-7A7A-4B38-8B2E-93439134A57F}"/>
    <hyperlink ref="K73" r:id="rId360" display="fdsup://factset/Doc Viewer Single?float_window=true&amp;positioning_strategy=center_on_screen&amp;_doc_docfn=U2FsdGVkX1/0kygnwOSntbvHOM+Dpvo8uxISFmXlrCpMuTA48VIFG+DPHpkje6gTRriv4yItEvdoWFc0+f+EsvzRi0NA+/wpO4kTNDvm8rU=&amp;_app_id=central_doc_viewer&amp;center_on_screen=true&amp;width=950&amp;height=800&amp;_dd2=%26f%3Dsld%26c%3Dtrue%26os%3D283948%26oe%3D283953" xr:uid="{6A500B75-68C0-410A-AD7D-4BB303B1DDAA}"/>
    <hyperlink ref="B74" r:id="rId361" display="fdsup://factset/Doc Viewer Single?float_window=true&amp;positioning_strategy=center_on_screen&amp;_doc_docfn=U2FsdGVkX1/h2geeansBWdR5ek9r6fqyEcvsz3wJSyw/9LjZH/6sQJw/a+f+X10kheZmlPODn7BtWI5KwEb3ZqwkZ1Zu+H9eyYRp+lbgkmw=&amp;_app_id=central_doc_viewer&amp;center_on_screen=true&amp;width=950&amp;height=800&amp;_dd2=%26f%3Dsld%26c%3Dtrue%26os%3D181270%26oe%3D181275" xr:uid="{E643EC0C-A847-46F5-9E80-9A18FC8C09B4}"/>
    <hyperlink ref="C74" r:id="rId362" display="fdsup://factset/Doc Viewer Single?float_window=true&amp;positioning_strategy=center_on_screen&amp;_doc_docfn=U2FsdGVkX19E5WGQzO78qahNuDe51oKwBsXuhUDojoJK2Mma2dXuTCktYOY0mze+fN6VpoDjkZDjXfp1ZcAAEcIgwXt2p2DaRpbHGFd55Ms=&amp;_app_id=central_doc_viewer&amp;center_on_screen=true&amp;width=950&amp;height=800&amp;_dd2=%26f%3Dsld%26c%3Dtrue%26os%3D184756%26oe%3D184761" xr:uid="{14192A2C-6B6A-434A-B449-2DBA17A658A7}"/>
    <hyperlink ref="D74" r:id="rId363" display="fdsup://factset/Doc Viewer Single?float_window=true&amp;positioning_strategy=center_on_screen&amp;_doc_docfn=U2FsdGVkX18h68wBydOlN/ihHLxlm+E6Ah9BEtG8GsuRlpZ+64WDp7pPXfyA6+pldC1dhg75l573rZ4duDOtMx4x3V/S1h5NsxaUJBuxU18=&amp;_app_id=central_doc_viewer&amp;center_on_screen=true&amp;width=950&amp;height=800&amp;_dd2=%26f%3Dsld%26c%3Dtrue%26os%3D188175%26oe%3D188180" xr:uid="{820C6A4F-98BF-4B41-9945-2DD642CE85A6}"/>
    <hyperlink ref="E74" r:id="rId364" display="fdsup://factset/Doc Viewer Single?float_window=true&amp;positioning_strategy=center_on_screen&amp;_doc_docfn=U2FsdGVkX19LCMx40EAGLhDouiaIZTeMeQ1SKYbhhS2qUUEH23jf3eraHn81ISv4qL+qomLy9b8I9c0VYr5BfJe51JS2MT9hdkrkvLsOf8Q=&amp;_app_id=central_doc_viewer&amp;center_on_screen=true&amp;width=950&amp;height=800&amp;_dd2=%26f%3Dsld%26c%3Dtrue%26os%3D191292%26oe%3D191297" xr:uid="{C2C0FA5E-9882-486B-9B07-CE250DD69ED0}"/>
    <hyperlink ref="F74" r:id="rId365" display="fdsup://factset/Doc Viewer Single?float_window=true&amp;positioning_strategy=center_on_screen&amp;_doc_docfn=U2FsdGVkX196MwH8pWUBDMUUXMbQC91ePuRrnvxwMaZ1havYUrW+ilvmfxHq+e/QJWpKS7tZcK13ZInwR8ZlMmzKmPmtpIoXHBBU4ybqC18=&amp;_app_id=central_doc_viewer&amp;center_on_screen=true&amp;width=950&amp;height=800&amp;_dd2=%26f%3Dsld%26c%3Dtrue%26os%3D266975%26oe%3D266980" xr:uid="{DEAFE7E7-907D-4ECE-A229-051280D41CB6}"/>
    <hyperlink ref="G74" r:id="rId366" display="fdsup://factset/Doc Viewer Single?float_window=true&amp;positioning_strategy=center_on_screen&amp;_doc_docfn=U2FsdGVkX1+XIK+9sqf2/wK0vYW3eKr5cdAGgkAQs9R01rGse+Va+PjfMQGnfXkI6QB6ktGA79F3VaQeVrTaswzIAaltYpWX3EGTn/+mdm0=&amp;_app_id=central_doc_viewer&amp;center_on_screen=true&amp;width=950&amp;height=800&amp;_dd2=%26f%3Dsld%26c%3Dtrue%26os%3D448040%26oe%3D448045" xr:uid="{E79A42C5-72B4-459B-B033-E89FAD99BE19}"/>
    <hyperlink ref="H74" r:id="rId367" display="fdsup://factset/Doc Viewer Single?float_window=true&amp;positioning_strategy=center_on_screen&amp;_doc_docfn=U2FsdGVkX1/66oUcO8JDTgMw4vkBsVNf8T0WtG9MyiImgyksQEA6m45zCm0wItS2ys3gv3nbe4DYe67Mm/8A0P1z4CB8DPrcqedOMv/HS6g=&amp;_app_id=central_doc_viewer&amp;center_on_screen=true&amp;width=950&amp;height=800&amp;_dd2=%26f%3Dsld%26c%3Dtrue%26os%3D284176%26oe%3D284181" xr:uid="{28A88F7B-854D-4B15-8020-4BBBF3D6C68C}"/>
    <hyperlink ref="I74" r:id="rId368" display="fdsup://factset/Doc Viewer Single?float_window=true&amp;positioning_strategy=center_on_screen&amp;_doc_docfn=U2FsdGVkX1/xJ8XhaXW6QH0ZcyyiacAbXrWgKK/1MAdccqL68iAkOWqasbYiS4qthoigmCS3WtBi0TazZRS+w4A1bgPJhE+cmrHEc4JkJ9w=&amp;_app_id=central_doc_viewer&amp;center_on_screen=true&amp;width=950&amp;height=800&amp;_dd2=%26f%3Dsld%26c%3Dtrue%26os%3D268646%26oe%3D268651" xr:uid="{4276EFB9-BDC4-43A5-8A4C-12385E39A1AF}"/>
    <hyperlink ref="J74" r:id="rId369" display="fdsup://factset/Doc Viewer Single?float_window=true&amp;positioning_strategy=center_on_screen&amp;_doc_docfn=U2FsdGVkX1/i3sa1sOqfIq/jGjtjYcfWAvGU3KPuvrDbDY6Xm3wH36EzpzMKgZfrNR0x0g+u/pslSkg3Do6og7Y1H6aQDFJrwofDPDeMs0M=&amp;_app_id=central_doc_viewer&amp;center_on_screen=true&amp;width=950&amp;height=800&amp;_dd2=%26f%3Dsld%26c%3Dtrue%26os%3D269940%26oe%3D269945" xr:uid="{E83A9CC5-4F4E-4FC6-B1FE-1A8D5BBF27F5}"/>
    <hyperlink ref="K74" r:id="rId370" display="fdsup://factset/Doc Viewer Single?float_window=true&amp;positioning_strategy=center_on_screen&amp;_doc_docfn=U2FsdGVkX1/vLr7vVgjZdVXlcENEHEsxXrwUjsVvI71rmPO3a1r21f9wZ2eGXiV+IZ19BeL2LYi6nczP9HVGvotCoyfSdFegBV3/Nai3DM4=&amp;_app_id=central_doc_viewer&amp;center_on_screen=true&amp;width=950&amp;height=800&amp;_dd2=%26f%3Dsld%26c%3Dtrue%26os%3D284646%26oe%3D284651" xr:uid="{E2B2B3D7-55A5-497D-B81F-5BEDBD35C57A}"/>
    <hyperlink ref="D76" r:id="rId371" display="fdsup://factset/Doc Viewer Single?float_window=true&amp;positioning_strategy=center_on_screen&amp;_doc_docfn=U2FsdGVkX1+qpEM74mVhVO1RV72PlMPjhbgcBLTQ2I1yZfaueq3SYanYUAteTwgk3phjjF5zMvJF8Lvq8eWPbr6RKlAS4KbSz+BzGCe76n0=&amp;_app_id=central_doc_viewer&amp;center_on_screen=true&amp;width=950&amp;height=800&amp;_dd2=%26f%3Dsld%26c%3Dtrue%26os%3D189385%26oe%3D189390" xr:uid="{2D676414-D226-436E-BDBB-E8DB7E76BCD7}"/>
    <hyperlink ref="E76" r:id="rId372" display="fdsup://factset/Doc Viewer Single?float_window=true&amp;positioning_strategy=center_on_screen&amp;_doc_docfn=U2FsdGVkX1//IKT/k6qUj7QrSUzU32gJhtlRUpu8yQos4jlnPsvcjXwiGTRSpboyoVTUm7wcHZkyH2lUYirBZReDsemdjCLK/VQglZWFT2w=&amp;_app_id=central_doc_viewer&amp;center_on_screen=true&amp;width=950&amp;height=800&amp;_dd2=%26f%3Dsld%26c%3Dtrue%26os%3D192493%26oe%3D192494" xr:uid="{DA372893-EF46-410D-917A-A8C3DB68F577}"/>
    <hyperlink ref="F76" r:id="rId373" display="fdsup://factset/Doc Viewer Single?float_window=true&amp;positioning_strategy=center_on_screen&amp;_doc_docfn=U2FsdGVkX1/kK4vYnpU4iObX2DRpjuWoEIJvs+VmePFeyRQU2hL4mjeS0T0nhwLxLhdvbNTN7bggCppm7Qnul/CHtXyGtlbv5YFMXM+y3Xc=&amp;_app_id=central_doc_viewer&amp;center_on_screen=true&amp;width=950&amp;height=800&amp;_dd2=%26f%3Dsld%26c%3Dtrue%26os%3D268079%26oe%3D268080" xr:uid="{B5904536-D3A4-44E7-831E-DF901640C6A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Cover</vt:lpstr>
      <vt:lpstr>Trading Comparables</vt:lpstr>
      <vt:lpstr>WACC</vt:lpstr>
      <vt:lpstr>DCF</vt:lpstr>
      <vt:lpstr>Shares</vt:lpstr>
      <vt:lpstr>IS - Estimates</vt:lpstr>
      <vt:lpstr>IS - Historicals</vt:lpstr>
      <vt:lpstr>CFS - Estimates</vt:lpstr>
      <vt:lpstr>CFS  - Historicals</vt:lpstr>
      <vt:lpstr>tgr</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Chon</dc:creator>
  <cp:lastModifiedBy>Shivam Raj</cp:lastModifiedBy>
  <dcterms:created xsi:type="dcterms:W3CDTF">2025-04-16T18:31:01Z</dcterms:created>
  <dcterms:modified xsi:type="dcterms:W3CDTF">2026-02-01T20:42:34Z</dcterms:modified>
</cp:coreProperties>
</file>